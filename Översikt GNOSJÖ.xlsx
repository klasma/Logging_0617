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45712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38355-2023</t>
        </is>
      </c>
      <c r="B3" s="1" t="n">
        <v>45161</v>
      </c>
      <c r="C3" s="1" t="n">
        <v>45712</v>
      </c>
      <c r="D3" t="inlineStr">
        <is>
          <t>JÖNKÖPINGS LÄN</t>
        </is>
      </c>
      <c r="E3" t="inlineStr">
        <is>
          <t>GNOSJÖ</t>
        </is>
      </c>
      <c r="G3" t="n">
        <v>11.4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HYPERLINK("https://klasma.github.io/Logging_0617/artfynd/A 38355-2023 artfynd.xlsx", "A 38355-2023")</f>
        <v/>
      </c>
      <c r="T3">
        <f>HYPERLINK("https://klasma.github.io/Logging_0617/kartor/A 38355-2023 karta.png", "A 38355-2023")</f>
        <v/>
      </c>
      <c r="V3">
        <f>HYPERLINK("https://klasma.github.io/Logging_0617/klagomål/A 38355-2023 FSC-klagomål.docx", "A 38355-2023")</f>
        <v/>
      </c>
      <c r="W3">
        <f>HYPERLINK("https://klasma.github.io/Logging_0617/klagomålsmail/A 38355-2023 FSC-klagomål mail.docx", "A 38355-2023")</f>
        <v/>
      </c>
      <c r="X3">
        <f>HYPERLINK("https://klasma.github.io/Logging_0617/tillsyn/A 38355-2023 tillsynsbegäran.docx", "A 38355-2023")</f>
        <v/>
      </c>
      <c r="Y3">
        <f>HYPERLINK("https://klasma.github.io/Logging_0617/tillsynsmail/A 38355-2023 tillsynsbegäran mail.docx", "A 38355-2023")</f>
        <v/>
      </c>
    </row>
    <row r="4" ht="15" customHeight="1">
      <c r="A4" t="inlineStr">
        <is>
          <t>A 7319-2024</t>
        </is>
      </c>
      <c r="B4" s="1" t="n">
        <v>45345</v>
      </c>
      <c r="C4" s="1" t="n">
        <v>45712</v>
      </c>
      <c r="D4" t="inlineStr">
        <is>
          <t>JÖNKÖPINGS LÄN</t>
        </is>
      </c>
      <c r="E4" t="inlineStr">
        <is>
          <t>GNOSJÖ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Blomkålssvamp</t>
        </is>
      </c>
      <c r="S4">
        <f>HYPERLINK("https://klasma.github.io/Logging_0617/artfynd/A 7319-2024 artfynd.xlsx", "A 7319-2024")</f>
        <v/>
      </c>
      <c r="T4">
        <f>HYPERLINK("https://klasma.github.io/Logging_0617/kartor/A 7319-2024 karta.png", "A 7319-2024")</f>
        <v/>
      </c>
      <c r="V4">
        <f>HYPERLINK("https://klasma.github.io/Logging_0617/klagomål/A 7319-2024 FSC-klagomål.docx", "A 7319-2024")</f>
        <v/>
      </c>
      <c r="W4">
        <f>HYPERLINK("https://klasma.github.io/Logging_0617/klagomålsmail/A 7319-2024 FSC-klagomål mail.docx", "A 7319-2024")</f>
        <v/>
      </c>
      <c r="X4">
        <f>HYPERLINK("https://klasma.github.io/Logging_0617/tillsyn/A 7319-2024 tillsynsbegäran.docx", "A 7319-2024")</f>
        <v/>
      </c>
      <c r="Y4">
        <f>HYPERLINK("https://klasma.github.io/Logging_0617/tillsynsmail/A 7319-2024 tillsynsbegäran mail.docx", "A 7319-2024")</f>
        <v/>
      </c>
    </row>
    <row r="5" ht="15" customHeight="1">
      <c r="A5" t="inlineStr">
        <is>
          <t>A 48551-2024</t>
        </is>
      </c>
      <c r="B5" s="1" t="n">
        <v>45593</v>
      </c>
      <c r="C5" s="1" t="n">
        <v>45712</v>
      </c>
      <c r="D5" t="inlineStr">
        <is>
          <t>JÖNKÖPINGS LÄN</t>
        </is>
      </c>
      <c r="E5" t="inlineStr">
        <is>
          <t>GNOSJÖ</t>
        </is>
      </c>
      <c r="G5" t="n">
        <v>8.1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Sommarfibbla</t>
        </is>
      </c>
      <c r="S5">
        <f>HYPERLINK("https://klasma.github.io/Logging_0617/artfynd/A 48551-2024 artfynd.xlsx", "A 48551-2024")</f>
        <v/>
      </c>
      <c r="T5">
        <f>HYPERLINK("https://klasma.github.io/Logging_0617/kartor/A 48551-2024 karta.png", "A 48551-2024")</f>
        <v/>
      </c>
      <c r="V5">
        <f>HYPERLINK("https://klasma.github.io/Logging_0617/klagomål/A 48551-2024 FSC-klagomål.docx", "A 48551-2024")</f>
        <v/>
      </c>
      <c r="W5">
        <f>HYPERLINK("https://klasma.github.io/Logging_0617/klagomålsmail/A 48551-2024 FSC-klagomål mail.docx", "A 48551-2024")</f>
        <v/>
      </c>
      <c r="X5">
        <f>HYPERLINK("https://klasma.github.io/Logging_0617/tillsyn/A 48551-2024 tillsynsbegäran.docx", "A 48551-2024")</f>
        <v/>
      </c>
      <c r="Y5">
        <f>HYPERLINK("https://klasma.github.io/Logging_0617/tillsynsmail/A 48551-2024 tillsynsbegäran mail.docx", "A 48551-2024")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45712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45712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45712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45712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45712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45712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45712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45712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45712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45712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45712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45712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45712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45712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45712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45712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45712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45712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45712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45712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45712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45712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45712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45712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45712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45712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45712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45712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45712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45712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45712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45712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45712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45712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45712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45712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45712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45712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45712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45712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45712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45712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45712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45712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45712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45712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45712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45712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45712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45712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45712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45712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45712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45712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45712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45712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66211-2020</t>
        </is>
      </c>
      <c r="B62" s="1" t="n">
        <v>44175</v>
      </c>
      <c r="C62" s="1" t="n">
        <v>45712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45712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45712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45712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45712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45712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45712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45712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45712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45712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45712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45712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45712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45712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45712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45712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45712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45712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45712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45712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45712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45712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45712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45712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45712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45712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45712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45712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45712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45712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45712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45712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45712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45712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45712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45712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45712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45712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45712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45712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45712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45712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45712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45712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45712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45712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45712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45712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45712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45712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45712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45712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45712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45712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45712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45712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45712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45712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45712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45712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45712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45712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45712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45712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45712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45712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45712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45712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45712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45712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45712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45712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45712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45712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45712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45712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45712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45712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45712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45712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45712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45712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45712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45712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45712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45712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45712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45712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45712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45712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45712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45712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45712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45712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45712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45712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45712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45712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45712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45712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45712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45712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45712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45712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45712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45712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45712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45712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45712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45712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45712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45712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45712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45712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45712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45712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45712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45712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45712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45712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45712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45712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45712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45712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45712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45712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45712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45712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45712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45712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45712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45712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45712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45712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45712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45712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45712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45712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45712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45712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45712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45712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45712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45712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45712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45712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45712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45712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45712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45712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45712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45712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45712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45712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45712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45712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45712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45712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45712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45712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45712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45712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45712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45712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45712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45712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45712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45712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45712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45712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45712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45712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45712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45712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45712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45712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45712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45712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45712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45712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45712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45712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45712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45712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45712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45712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45712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45712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45712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45712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45712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45712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45712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45712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45712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45712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45712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45712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45712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45712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45712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45712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45712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45712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45712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45712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45712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45712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45712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45712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45712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45712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45712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45712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45712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45712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45712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45712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45712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45712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45712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45712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45712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45712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45712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45712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45712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45712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45712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45712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45712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45712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45712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45712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45712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45712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45712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45712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45712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45712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45712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45712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45712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45712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45712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45712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45712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45712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45712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45712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45712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45712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45712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45712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45712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45712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45712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45712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45712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45712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45712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45712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45712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45712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45712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45712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45712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45712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45712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45712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45712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45712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45712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45712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45712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45712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45712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45712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45712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45712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45712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45712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45712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45712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45712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45712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45712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45712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45712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45712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45712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45712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45712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45712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45712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45712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45712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45712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45712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45712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45712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45712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45712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45712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45712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45712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45712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45712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45712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45712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45712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45712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45712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45712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45712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45712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45712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45712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6538-2025</t>
        </is>
      </c>
      <c r="B380" s="1" t="n">
        <v>45699</v>
      </c>
      <c r="C380" s="1" t="n">
        <v>45712</v>
      </c>
      <c r="D380" t="inlineStr">
        <is>
          <t>JÖNKÖPINGS LÄN</t>
        </is>
      </c>
      <c r="E380" t="inlineStr">
        <is>
          <t>GNOSJÖ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6415-2025</t>
        </is>
      </c>
      <c r="B381" s="1" t="n">
        <v>45699</v>
      </c>
      <c r="C381" s="1" t="n">
        <v>45712</v>
      </c>
      <c r="D381" t="inlineStr">
        <is>
          <t>JÖNKÖPINGS LÄN</t>
        </is>
      </c>
      <c r="E381" t="inlineStr">
        <is>
          <t>GNOSJÖ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6747-2025</t>
        </is>
      </c>
      <c r="B382" s="1" t="n">
        <v>45700</v>
      </c>
      <c r="C382" s="1" t="n">
        <v>45712</v>
      </c>
      <c r="D382" t="inlineStr">
        <is>
          <t>JÖNKÖPINGS LÄN</t>
        </is>
      </c>
      <c r="E382" t="inlineStr">
        <is>
          <t>GNOSJÖ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6587-2025</t>
        </is>
      </c>
      <c r="B383" s="1" t="n">
        <v>45700</v>
      </c>
      <c r="C383" s="1" t="n">
        <v>45712</v>
      </c>
      <c r="D383" t="inlineStr">
        <is>
          <t>JÖNKÖPINGS LÄN</t>
        </is>
      </c>
      <c r="E383" t="inlineStr">
        <is>
          <t>GNOSJÖ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6763-2025</t>
        </is>
      </c>
      <c r="B384" s="1" t="n">
        <v>45700</v>
      </c>
      <c r="C384" s="1" t="n">
        <v>45712</v>
      </c>
      <c r="D384" t="inlineStr">
        <is>
          <t>JÖNKÖPINGS LÄN</t>
        </is>
      </c>
      <c r="E384" t="inlineStr">
        <is>
          <t>GNOSJÖ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6738-2025</t>
        </is>
      </c>
      <c r="B385" s="1" t="n">
        <v>45700</v>
      </c>
      <c r="C385" s="1" t="n">
        <v>45712</v>
      </c>
      <c r="D385" t="inlineStr">
        <is>
          <t>JÖNKÖPINGS LÄN</t>
        </is>
      </c>
      <c r="E385" t="inlineStr">
        <is>
          <t>GNOSJÖ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6586-2025</t>
        </is>
      </c>
      <c r="B386" s="1" t="n">
        <v>45700</v>
      </c>
      <c r="C386" s="1" t="n">
        <v>45712</v>
      </c>
      <c r="D386" t="inlineStr">
        <is>
          <t>JÖNKÖPINGS LÄN</t>
        </is>
      </c>
      <c r="E386" t="inlineStr">
        <is>
          <t>GNOSJÖ</t>
        </is>
      </c>
      <c r="F386" t="inlineStr">
        <is>
          <t>Övriga Aktiebolag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45712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6789-2025</t>
        </is>
      </c>
      <c r="B388" s="1" t="n">
        <v>45700</v>
      </c>
      <c r="C388" s="1" t="n">
        <v>45712</v>
      </c>
      <c r="D388" t="inlineStr">
        <is>
          <t>JÖNKÖPINGS LÄN</t>
        </is>
      </c>
      <c r="E388" t="inlineStr">
        <is>
          <t>GNOSJÖ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6793-2025</t>
        </is>
      </c>
      <c r="B389" s="1" t="n">
        <v>45700</v>
      </c>
      <c r="C389" s="1" t="n">
        <v>45712</v>
      </c>
      <c r="D389" t="inlineStr">
        <is>
          <t>JÖNKÖPINGS LÄN</t>
        </is>
      </c>
      <c r="E389" t="inlineStr">
        <is>
          <t>GNOSJÖ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45712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8119-2025</t>
        </is>
      </c>
      <c r="B391" s="1" t="n">
        <v>45707</v>
      </c>
      <c r="C391" s="1" t="n">
        <v>45712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2025-02-24T16:58:38Z</dcterms:created>
  <dcterms:modified xmlns:dcterms="http://purl.org/dc/terms/" xmlns:xsi="http://www.w3.org/2001/XMLSchema-instance" xsi:type="dcterms:W3CDTF">2025-02-24T16:58:38Z</dcterms:modified>
</cp:coreProperties>
</file>