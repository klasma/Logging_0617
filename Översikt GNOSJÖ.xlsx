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28312-2025</t>
        </is>
      </c>
      <c r="B3" s="1" t="n">
        <v>45818</v>
      </c>
      <c r="C3" s="1" t="n">
        <v>46194</v>
      </c>
      <c r="D3" t="inlineStr">
        <is>
          <t>JÖNKÖPINGS LÄN</t>
        </is>
      </c>
      <c r="E3" t="inlineStr">
        <is>
          <t>GNOSJÖ</t>
        </is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HYPERLINK("https://klasma.github.io/Logging_0617/artfynd/A 28312-2025 artfynd.xlsx", "A 28312-2025")</f>
        <v/>
      </c>
      <c r="T3">
        <f>HYPERLINK("https://klasma.github.io/Logging_0617/kartor/A 28312-2025 karta.png", "A 28312-2025")</f>
        <v/>
      </c>
      <c r="V3">
        <f>HYPERLINK("https://klasma.github.io/Logging_0617/klagomål/A 28312-2025 FSC-klagomål.docx", "A 28312-2025")</f>
        <v/>
      </c>
      <c r="W3">
        <f>HYPERLINK("https://klasma.github.io/Logging_0617/klagomålsmail/A 28312-2025 FSC-klagomål mail.docx", "A 28312-2025")</f>
        <v/>
      </c>
      <c r="X3">
        <f>HYPERLINK("https://klasma.github.io/Logging_0617/tillsyn/A 28312-2025 tillsynsbegäran.docx", "A 28312-2025")</f>
        <v/>
      </c>
      <c r="Y3">
        <f>HYPERLINK("https://klasma.github.io/Logging_0617/tillsynsmail/A 28312-2025 tillsynsbegäran mail.docx", "A 28312-2025")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46194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23612-2022</t>
        </is>
      </c>
      <c r="B5" s="1" t="n">
        <v>44721</v>
      </c>
      <c r="C5" s="1" t="n">
        <v>46194</v>
      </c>
      <c r="D5" t="inlineStr">
        <is>
          <t>JÖNKÖPINGS LÄN</t>
        </is>
      </c>
      <c r="E5" t="inlineStr">
        <is>
          <t>GNOSJÖ</t>
        </is>
      </c>
      <c r="G5" t="n">
        <v>4.4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Kungsfågel</t>
        </is>
      </c>
      <c r="S5">
        <f>HYPERLINK("https://klasma.github.io/Logging_0617/artfynd/A 23612-2022 artfynd.xlsx", "A 23612-2022")</f>
        <v/>
      </c>
      <c r="T5">
        <f>HYPERLINK("https://klasma.github.io/Logging_0617/kartor/A 23612-2022 karta.png", "A 23612-2022")</f>
        <v/>
      </c>
      <c r="V5">
        <f>HYPERLINK("https://klasma.github.io/Logging_0617/klagomål/A 23612-2022 FSC-klagomål.docx", "A 23612-2022")</f>
        <v/>
      </c>
      <c r="W5">
        <f>HYPERLINK("https://klasma.github.io/Logging_0617/klagomålsmail/A 23612-2022 FSC-klagomål mail.docx", "A 23612-2022")</f>
        <v/>
      </c>
      <c r="X5">
        <f>HYPERLINK("https://klasma.github.io/Logging_0617/tillsyn/A 23612-2022 tillsynsbegäran.docx", "A 23612-2022")</f>
        <v/>
      </c>
      <c r="Y5">
        <f>HYPERLINK("https://klasma.github.io/Logging_0617/tillsynsmail/A 23612-2022 tillsynsbegäran mail.docx", "A 23612-2022")</f>
        <v/>
      </c>
      <c r="Z5">
        <f>HYPERLINK("https://klasma.github.io/Logging_0617/fåglar/A 23612-2022 prioriterade fågelarter.docx", "A 23612-2022")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46194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46194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46194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46194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46194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46194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</v>
      </c>
      <c r="C12" s="1" t="n">
        <v>46194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</v>
      </c>
      <c r="C13" s="1" t="n">
        <v>46194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</v>
      </c>
      <c r="C14" s="1" t="n">
        <v>46194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46194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46194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46194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46194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46194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46194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46194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46194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46194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46194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46194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5030-2022</t>
        </is>
      </c>
      <c r="B26" s="1" t="n">
        <v>44593</v>
      </c>
      <c r="C26" s="1" t="n">
        <v>46194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40244-2024</t>
        </is>
      </c>
      <c r="B27" s="1" t="n">
        <v>45554</v>
      </c>
      <c r="C27" s="1" t="n">
        <v>46194</v>
      </c>
      <c r="D27" t="inlineStr">
        <is>
          <t>JÖNKÖPINGS LÄN</t>
        </is>
      </c>
      <c r="E27" t="inlineStr">
        <is>
          <t>GNOSJÖ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64481-2023</t>
        </is>
      </c>
      <c r="B28" s="1" t="n">
        <v>45280</v>
      </c>
      <c r="C28" s="1" t="n">
        <v>46194</v>
      </c>
      <c r="D28" t="inlineStr">
        <is>
          <t>JÖNKÖPINGS LÄN</t>
        </is>
      </c>
      <c r="E28" t="inlineStr">
        <is>
          <t>GNOSJÖ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48480-2022</t>
        </is>
      </c>
      <c r="B29" s="1" t="n">
        <v>44858</v>
      </c>
      <c r="C29" s="1" t="n">
        <v>46194</v>
      </c>
      <c r="D29" t="inlineStr">
        <is>
          <t>JÖNKÖPINGS LÄN</t>
        </is>
      </c>
      <c r="E29" t="inlineStr">
        <is>
          <t>GNOSJÖ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54362-2021</t>
        </is>
      </c>
      <c r="B30" s="1" t="n">
        <v>44470</v>
      </c>
      <c r="C30" s="1" t="n">
        <v>46194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55074-2023</t>
        </is>
      </c>
      <c r="B31" s="1" t="n">
        <v>45237</v>
      </c>
      <c r="C31" s="1" t="n">
        <v>46194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58356-2022</t>
        </is>
      </c>
      <c r="B32" s="1" t="n">
        <v>44893</v>
      </c>
      <c r="C32" s="1" t="n">
        <v>46194</v>
      </c>
      <c r="D32" t="inlineStr">
        <is>
          <t>JÖNKÖPINGS LÄN</t>
        </is>
      </c>
      <c r="E32" t="inlineStr">
        <is>
          <t>GNOSJÖ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46194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56625-2022</t>
        </is>
      </c>
      <c r="B34" s="1" t="n">
        <v>44893</v>
      </c>
      <c r="C34" s="1" t="n">
        <v>46194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14355-2023</t>
        </is>
      </c>
      <c r="B35" s="1" t="n">
        <v>45012</v>
      </c>
      <c r="C35" s="1" t="n">
        <v>46194</v>
      </c>
      <c r="D35" t="inlineStr">
        <is>
          <t>JÖNKÖPINGS LÄN</t>
        </is>
      </c>
      <c r="E35" t="inlineStr">
        <is>
          <t>GNOSJÖ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55909-2022</t>
        </is>
      </c>
      <c r="B36" s="1" t="n">
        <v>44889</v>
      </c>
      <c r="C36" s="1" t="n">
        <v>46194</v>
      </c>
      <c r="D36" t="inlineStr">
        <is>
          <t>JÖNKÖPINGS LÄN</t>
        </is>
      </c>
      <c r="E36" t="inlineStr">
        <is>
          <t>GNOSJÖ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13913-2024</t>
        </is>
      </c>
      <c r="B37" s="1" t="n">
        <v>45391</v>
      </c>
      <c r="C37" s="1" t="n">
        <v>46194</v>
      </c>
      <c r="D37" t="inlineStr">
        <is>
          <t>JÖNKÖPINGS LÄN</t>
        </is>
      </c>
      <c r="E37" t="inlineStr">
        <is>
          <t>GNOSJÖ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16243-2025</t>
        </is>
      </c>
      <c r="B38" s="1" t="n">
        <v>45749</v>
      </c>
      <c r="C38" s="1" t="n">
        <v>46194</v>
      </c>
      <c r="D38" t="inlineStr">
        <is>
          <t>JÖNKÖPINGS LÄN</t>
        </is>
      </c>
      <c r="E38" t="inlineStr">
        <is>
          <t>GNOSJÖ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49725-2021</t>
        </is>
      </c>
      <c r="B39" s="1" t="n">
        <v>44455</v>
      </c>
      <c r="C39" s="1" t="n">
        <v>46194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</v>
      </c>
      <c r="C40" s="1" t="n">
        <v>46194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46194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46254-2024</t>
        </is>
      </c>
      <c r="B42" s="1" t="n">
        <v>45581</v>
      </c>
      <c r="C42" s="1" t="n">
        <v>46194</v>
      </c>
      <c r="D42" t="inlineStr">
        <is>
          <t>JÖNKÖPINGS LÄN</t>
        </is>
      </c>
      <c r="E42" t="inlineStr">
        <is>
          <t>GNOSJÖ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</v>
      </c>
      <c r="C43" s="1" t="n">
        <v>46194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13610-2024</t>
        </is>
      </c>
      <c r="B44" s="1" t="n">
        <v>45390</v>
      </c>
      <c r="C44" s="1" t="n">
        <v>46194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30101-2024</t>
        </is>
      </c>
      <c r="B45" s="1" t="n">
        <v>45489</v>
      </c>
      <c r="C45" s="1" t="n">
        <v>46194</v>
      </c>
      <c r="D45" t="inlineStr">
        <is>
          <t>JÖNKÖPINGS LÄN</t>
        </is>
      </c>
      <c r="E45" t="inlineStr">
        <is>
          <t>GNOSJÖ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56393-2023</t>
        </is>
      </c>
      <c r="B46" s="1" t="n">
        <v>45243</v>
      </c>
      <c r="C46" s="1" t="n">
        <v>46194</v>
      </c>
      <c r="D46" t="inlineStr">
        <is>
          <t>JÖNKÖPINGS LÄN</t>
        </is>
      </c>
      <c r="E46" t="inlineStr">
        <is>
          <t>GNOSJÖ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36653-2022</t>
        </is>
      </c>
      <c r="B47" s="1" t="n">
        <v>44804</v>
      </c>
      <c r="C47" s="1" t="n">
        <v>46194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48229-2022</t>
        </is>
      </c>
      <c r="B48" s="1" t="n">
        <v>44858</v>
      </c>
      <c r="C48" s="1" t="n">
        <v>46194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47454-2023</t>
        </is>
      </c>
      <c r="B49" s="1" t="n">
        <v>45202</v>
      </c>
      <c r="C49" s="1" t="n">
        <v>46194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33575-2022</t>
        </is>
      </c>
      <c r="B50" s="1" t="n">
        <v>44789</v>
      </c>
      <c r="C50" s="1" t="n">
        <v>46194</v>
      </c>
      <c r="D50" t="inlineStr">
        <is>
          <t>JÖNKÖPINGS LÄN</t>
        </is>
      </c>
      <c r="E50" t="inlineStr">
        <is>
          <t>GNOSJÖ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4298-2022</t>
        </is>
      </c>
      <c r="B51" s="1" t="n">
        <v>44588</v>
      </c>
      <c r="C51" s="1" t="n">
        <v>46194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5089-2024</t>
        </is>
      </c>
      <c r="B52" s="1" t="n">
        <v>45330</v>
      </c>
      <c r="C52" s="1" t="n">
        <v>46194</v>
      </c>
      <c r="D52" t="inlineStr">
        <is>
          <t>JÖNKÖPINGS LÄN</t>
        </is>
      </c>
      <c r="E52" t="inlineStr">
        <is>
          <t>GNOSJÖ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62053-2022</t>
        </is>
      </c>
      <c r="B53" s="1" t="n">
        <v>44918</v>
      </c>
      <c r="C53" s="1" t="n">
        <v>46194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58247-2021</t>
        </is>
      </c>
      <c r="B54" s="1" t="n">
        <v>44487</v>
      </c>
      <c r="C54" s="1" t="n">
        <v>46194</v>
      </c>
      <c r="D54" t="inlineStr">
        <is>
          <t>JÖNKÖPINGS LÄN</t>
        </is>
      </c>
      <c r="E54" t="inlineStr">
        <is>
          <t>GNOSJÖ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4293-2022</t>
        </is>
      </c>
      <c r="B55" s="1" t="n">
        <v>44588</v>
      </c>
      <c r="C55" s="1" t="n">
        <v>46194</v>
      </c>
      <c r="D55" t="inlineStr">
        <is>
          <t>JÖNKÖPINGS LÄN</t>
        </is>
      </c>
      <c r="E55" t="inlineStr">
        <is>
          <t>GNOSJÖ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38510-2025</t>
        </is>
      </c>
      <c r="B56" s="1" t="n">
        <v>45884</v>
      </c>
      <c r="C56" s="1" t="n">
        <v>46194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59026-2023</t>
        </is>
      </c>
      <c r="B57" s="1" t="n">
        <v>45252</v>
      </c>
      <c r="C57" s="1" t="n">
        <v>46194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31772-2023</t>
        </is>
      </c>
      <c r="B58" s="1" t="n">
        <v>45118</v>
      </c>
      <c r="C58" s="1" t="n">
        <v>46194</v>
      </c>
      <c r="D58" t="inlineStr">
        <is>
          <t>JÖNKÖPINGS LÄN</t>
        </is>
      </c>
      <c r="E58" t="inlineStr">
        <is>
          <t>GNOSJÖ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6662-2024</t>
        </is>
      </c>
      <c r="B59" s="1" t="n">
        <v>45341</v>
      </c>
      <c r="C59" s="1" t="n">
        <v>46194</v>
      </c>
      <c r="D59" t="inlineStr">
        <is>
          <t>JÖNKÖPINGS LÄN</t>
        </is>
      </c>
      <c r="E59" t="inlineStr">
        <is>
          <t>GNOSJÖ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53077-2021</t>
        </is>
      </c>
      <c r="B60" s="1" t="n">
        <v>44467</v>
      </c>
      <c r="C60" s="1" t="n">
        <v>46194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1450-2024</t>
        </is>
      </c>
      <c r="B61" s="1" t="n">
        <v>45303</v>
      </c>
      <c r="C61" s="1" t="n">
        <v>46194</v>
      </c>
      <c r="D61" t="inlineStr">
        <is>
          <t>JÖNKÖPINGS LÄN</t>
        </is>
      </c>
      <c r="E61" t="inlineStr">
        <is>
          <t>GNOSJÖ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50304-2024</t>
        </is>
      </c>
      <c r="B62" s="1" t="n">
        <v>45600</v>
      </c>
      <c r="C62" s="1" t="n">
        <v>46194</v>
      </c>
      <c r="D62" t="inlineStr">
        <is>
          <t>JÖNKÖPINGS LÄN</t>
        </is>
      </c>
      <c r="E62" t="inlineStr">
        <is>
          <t>GNOSJÖ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8747-2024</t>
        </is>
      </c>
      <c r="B63" s="1" t="n">
        <v>45356</v>
      </c>
      <c r="C63" s="1" t="n">
        <v>46194</v>
      </c>
      <c r="D63" t="inlineStr">
        <is>
          <t>JÖNKÖPINGS LÄN</t>
        </is>
      </c>
      <c r="E63" t="inlineStr">
        <is>
          <t>GNOSJÖ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23254-2023</t>
        </is>
      </c>
      <c r="B64" s="1" t="n">
        <v>45075</v>
      </c>
      <c r="C64" s="1" t="n">
        <v>46194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49720-2021</t>
        </is>
      </c>
      <c r="B65" s="1" t="n">
        <v>44455</v>
      </c>
      <c r="C65" s="1" t="n">
        <v>46194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6785-2025</t>
        </is>
      </c>
      <c r="B66" s="1" t="n">
        <v>45700</v>
      </c>
      <c r="C66" s="1" t="n">
        <v>46194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6793-2025</t>
        </is>
      </c>
      <c r="B67" s="1" t="n">
        <v>45700</v>
      </c>
      <c r="C67" s="1" t="n">
        <v>46194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53078-2021</t>
        </is>
      </c>
      <c r="B68" s="1" t="n">
        <v>44467</v>
      </c>
      <c r="C68" s="1" t="n">
        <v>46194</v>
      </c>
      <c r="D68" t="inlineStr">
        <is>
          <t>JÖNKÖPINGS LÄN</t>
        </is>
      </c>
      <c r="E68" t="inlineStr">
        <is>
          <t>GNOSJÖ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32826-2023</t>
        </is>
      </c>
      <c r="B69" s="1" t="n">
        <v>45124</v>
      </c>
      <c r="C69" s="1" t="n">
        <v>46194</v>
      </c>
      <c r="D69" t="inlineStr">
        <is>
          <t>JÖNKÖPINGS LÄN</t>
        </is>
      </c>
      <c r="E69" t="inlineStr">
        <is>
          <t>GNOSJÖ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64718-2023</t>
        </is>
      </c>
      <c r="B70" s="1" t="n">
        <v>45281</v>
      </c>
      <c r="C70" s="1" t="n">
        <v>46194</v>
      </c>
      <c r="D70" t="inlineStr">
        <is>
          <t>JÖNKÖPINGS LÄN</t>
        </is>
      </c>
      <c r="E70" t="inlineStr">
        <is>
          <t>GNOSJÖ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6415-2025</t>
        </is>
      </c>
      <c r="B71" s="1" t="n">
        <v>45699</v>
      </c>
      <c r="C71" s="1" t="n">
        <v>46194</v>
      </c>
      <c r="D71" t="inlineStr">
        <is>
          <t>JÖNKÖPINGS LÄN</t>
        </is>
      </c>
      <c r="E71" t="inlineStr">
        <is>
          <t>GNOSJÖ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53370-2024</t>
        </is>
      </c>
      <c r="B72" s="1" t="n">
        <v>45614</v>
      </c>
      <c r="C72" s="1" t="n">
        <v>46194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8698-2025</t>
        </is>
      </c>
      <c r="B73" s="1" t="n">
        <v>45712</v>
      </c>
      <c r="C73" s="1" t="n">
        <v>46194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4992-2023</t>
        </is>
      </c>
      <c r="B74" s="1" t="n">
        <v>44958</v>
      </c>
      <c r="C74" s="1" t="n">
        <v>46194</v>
      </c>
      <c r="D74" t="inlineStr">
        <is>
          <t>JÖNKÖPINGS LÄN</t>
        </is>
      </c>
      <c r="E74" t="inlineStr">
        <is>
          <t>GNOSJÖ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58962-2024</t>
        </is>
      </c>
      <c r="B75" s="1" t="n">
        <v>45636</v>
      </c>
      <c r="C75" s="1" t="n">
        <v>46194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58249-2021</t>
        </is>
      </c>
      <c r="B76" s="1" t="n">
        <v>44487</v>
      </c>
      <c r="C76" s="1" t="n">
        <v>46194</v>
      </c>
      <c r="D76" t="inlineStr">
        <is>
          <t>JÖNKÖPINGS LÄN</t>
        </is>
      </c>
      <c r="E76" t="inlineStr">
        <is>
          <t>GNOSJÖ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46194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</v>
      </c>
      <c r="C78" s="1" t="n">
        <v>46194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27264-2023</t>
        </is>
      </c>
      <c r="B79" s="1" t="n">
        <v>45096</v>
      </c>
      <c r="C79" s="1" t="n">
        <v>46194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19307-2023</t>
        </is>
      </c>
      <c r="B80" s="1" t="n">
        <v>45049</v>
      </c>
      <c r="C80" s="1" t="n">
        <v>46194</v>
      </c>
      <c r="D80" t="inlineStr">
        <is>
          <t>JÖNKÖPINGS LÄN</t>
        </is>
      </c>
      <c r="E80" t="inlineStr">
        <is>
          <t>GNOSJÖ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15776-2023</t>
        </is>
      </c>
      <c r="B81" s="1" t="n">
        <v>45021</v>
      </c>
      <c r="C81" s="1" t="n">
        <v>46194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5082-2024</t>
        </is>
      </c>
      <c r="B82" s="1" t="n">
        <v>45330</v>
      </c>
      <c r="C82" s="1" t="n">
        <v>46194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25487-2022</t>
        </is>
      </c>
      <c r="B83" s="1" t="n">
        <v>44732</v>
      </c>
      <c r="C83" s="1" t="n">
        <v>46194</v>
      </c>
      <c r="D83" t="inlineStr">
        <is>
          <t>JÖNKÖPINGS LÄN</t>
        </is>
      </c>
      <c r="E83" t="inlineStr">
        <is>
          <t>GNOSJÖ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58970-2024</t>
        </is>
      </c>
      <c r="B84" s="1" t="n">
        <v>45636</v>
      </c>
      <c r="C84" s="1" t="n">
        <v>46194</v>
      </c>
      <c r="D84" t="inlineStr">
        <is>
          <t>JÖNKÖPINGS LÄN</t>
        </is>
      </c>
      <c r="E84" t="inlineStr">
        <is>
          <t>GNOSJÖ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29066-2022</t>
        </is>
      </c>
      <c r="B85" s="1" t="n">
        <v>44750</v>
      </c>
      <c r="C85" s="1" t="n">
        <v>46194</v>
      </c>
      <c r="D85" t="inlineStr">
        <is>
          <t>JÖNKÖPINGS LÄN</t>
        </is>
      </c>
      <c r="E85" t="inlineStr">
        <is>
          <t>GNOSJÖ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32177-2024</t>
        </is>
      </c>
      <c r="B86" s="1" t="n">
        <v>45511</v>
      </c>
      <c r="C86" s="1" t="n">
        <v>46194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41347-2023</t>
        </is>
      </c>
      <c r="B87" s="1" t="n">
        <v>45174</v>
      </c>
      <c r="C87" s="1" t="n">
        <v>46194</v>
      </c>
      <c r="D87" t="inlineStr">
        <is>
          <t>JÖNKÖPINGS LÄN</t>
        </is>
      </c>
      <c r="E87" t="inlineStr">
        <is>
          <t>GNOSJÖ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30091-2024</t>
        </is>
      </c>
      <c r="B88" s="1" t="n">
        <v>45489</v>
      </c>
      <c r="C88" s="1" t="n">
        <v>46194</v>
      </c>
      <c r="D88" t="inlineStr">
        <is>
          <t>JÖNKÖPINGS LÄN</t>
        </is>
      </c>
      <c r="E88" t="inlineStr">
        <is>
          <t>GNOSJÖ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41357-2023</t>
        </is>
      </c>
      <c r="B89" s="1" t="n">
        <v>45174</v>
      </c>
      <c r="C89" s="1" t="n">
        <v>46194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34083-2023</t>
        </is>
      </c>
      <c r="B90" s="1" t="n">
        <v>45125</v>
      </c>
      <c r="C90" s="1" t="n">
        <v>46194</v>
      </c>
      <c r="D90" t="inlineStr">
        <is>
          <t>JÖNKÖPINGS LÄN</t>
        </is>
      </c>
      <c r="E90" t="inlineStr">
        <is>
          <t>GNOSJÖ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50440-2022</t>
        </is>
      </c>
      <c r="B91" s="1" t="n">
        <v>44866</v>
      </c>
      <c r="C91" s="1" t="n">
        <v>46194</v>
      </c>
      <c r="D91" t="inlineStr">
        <is>
          <t>JÖNKÖPINGS LÄN</t>
        </is>
      </c>
      <c r="E91" t="inlineStr">
        <is>
          <t>GNOSJÖ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5707-2022</t>
        </is>
      </c>
      <c r="B92" s="1" t="n">
        <v>44596</v>
      </c>
      <c r="C92" s="1" t="n">
        <v>46194</v>
      </c>
      <c r="D92" t="inlineStr">
        <is>
          <t>JÖNKÖPINGS LÄN</t>
        </is>
      </c>
      <c r="E92" t="inlineStr">
        <is>
          <t>GNOSJÖ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49758-2024</t>
        </is>
      </c>
      <c r="B93" s="1" t="n">
        <v>45597</v>
      </c>
      <c r="C93" s="1" t="n">
        <v>46194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25837-2023</t>
        </is>
      </c>
      <c r="B94" s="1" t="n">
        <v>45090</v>
      </c>
      <c r="C94" s="1" t="n">
        <v>46194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62045-2022</t>
        </is>
      </c>
      <c r="B95" s="1" t="n">
        <v>44918</v>
      </c>
      <c r="C95" s="1" t="n">
        <v>46194</v>
      </c>
      <c r="D95" t="inlineStr">
        <is>
          <t>JÖNKÖPINGS LÄN</t>
        </is>
      </c>
      <c r="E95" t="inlineStr">
        <is>
          <t>GNOSJÖ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40552-2025</t>
        </is>
      </c>
      <c r="B96" s="1" t="n">
        <v>45896</v>
      </c>
      <c r="C96" s="1" t="n">
        <v>46194</v>
      </c>
      <c r="D96" t="inlineStr">
        <is>
          <t>JÖNKÖPINGS LÄN</t>
        </is>
      </c>
      <c r="E96" t="inlineStr">
        <is>
          <t>GNOSJÖ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15434-2023</t>
        </is>
      </c>
      <c r="B97" s="1" t="n">
        <v>45020</v>
      </c>
      <c r="C97" s="1" t="n">
        <v>46194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40863-2025</t>
        </is>
      </c>
      <c r="B98" s="1" t="n">
        <v>45897</v>
      </c>
      <c r="C98" s="1" t="n">
        <v>46194</v>
      </c>
      <c r="D98" t="inlineStr">
        <is>
          <t>JÖNKÖPINGS LÄN</t>
        </is>
      </c>
      <c r="E98" t="inlineStr">
        <is>
          <t>GNOSJÖ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21080-2025</t>
        </is>
      </c>
      <c r="B99" s="1" t="n">
        <v>45777</v>
      </c>
      <c r="C99" s="1" t="n">
        <v>46194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23625-2022</t>
        </is>
      </c>
      <c r="B100" s="1" t="n">
        <v>44721</v>
      </c>
      <c r="C100" s="1" t="n">
        <v>46194</v>
      </c>
      <c r="D100" t="inlineStr">
        <is>
          <t>JÖNKÖPINGS LÄN</t>
        </is>
      </c>
      <c r="E100" t="inlineStr">
        <is>
          <t>GNOSJÖ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61532-2023</t>
        </is>
      </c>
      <c r="B101" s="1" t="n">
        <v>45265</v>
      </c>
      <c r="C101" s="1" t="n">
        <v>46194</v>
      </c>
      <c r="D101" t="inlineStr">
        <is>
          <t>JÖNKÖPINGS LÄN</t>
        </is>
      </c>
      <c r="E101" t="inlineStr">
        <is>
          <t>GNOSJÖ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42615-2025</t>
        </is>
      </c>
      <c r="B102" s="1" t="n">
        <v>45905</v>
      </c>
      <c r="C102" s="1" t="n">
        <v>46194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23259-2023</t>
        </is>
      </c>
      <c r="B103" s="1" t="n">
        <v>45075</v>
      </c>
      <c r="C103" s="1" t="n">
        <v>46194</v>
      </c>
      <c r="D103" t="inlineStr">
        <is>
          <t>JÖNKÖPINGS LÄN</t>
        </is>
      </c>
      <c r="E103" t="inlineStr">
        <is>
          <t>GNOSJÖ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47856-2022</t>
        </is>
      </c>
      <c r="B104" s="1" t="n">
        <v>44855</v>
      </c>
      <c r="C104" s="1" t="n">
        <v>46194</v>
      </c>
      <c r="D104" t="inlineStr">
        <is>
          <t>JÖNKÖPINGS LÄN</t>
        </is>
      </c>
      <c r="E104" t="inlineStr">
        <is>
          <t>GNOSJÖ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42618-2025</t>
        </is>
      </c>
      <c r="B105" s="1" t="n">
        <v>45905</v>
      </c>
      <c r="C105" s="1" t="n">
        <v>46194</v>
      </c>
      <c r="D105" t="inlineStr">
        <is>
          <t>JÖNKÖPINGS LÄN</t>
        </is>
      </c>
      <c r="E105" t="inlineStr">
        <is>
          <t>GNOSJÖ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41323-2022</t>
        </is>
      </c>
      <c r="B106" s="1" t="n">
        <v>44826</v>
      </c>
      <c r="C106" s="1" t="n">
        <v>46194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43637-2025</t>
        </is>
      </c>
      <c r="B107" s="1" t="n">
        <v>45911</v>
      </c>
      <c r="C107" s="1" t="n">
        <v>46194</v>
      </c>
      <c r="D107" t="inlineStr">
        <is>
          <t>JÖNKÖPINGS LÄN</t>
        </is>
      </c>
      <c r="E107" t="inlineStr">
        <is>
          <t>GNOSJÖ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43656-2025</t>
        </is>
      </c>
      <c r="B108" s="1" t="n">
        <v>45912</v>
      </c>
      <c r="C108" s="1" t="n">
        <v>46194</v>
      </c>
      <c r="D108" t="inlineStr">
        <is>
          <t>JÖNKÖPINGS LÄN</t>
        </is>
      </c>
      <c r="E108" t="inlineStr">
        <is>
          <t>GNOSJÖ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30314-2024</t>
        </is>
      </c>
      <c r="B109" s="1" t="n">
        <v>45490</v>
      </c>
      <c r="C109" s="1" t="n">
        <v>46194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20948-2024</t>
        </is>
      </c>
      <c r="B110" s="1" t="n">
        <v>45439</v>
      </c>
      <c r="C110" s="1" t="n">
        <v>46194</v>
      </c>
      <c r="D110" t="inlineStr">
        <is>
          <t>JÖNKÖPINGS LÄN</t>
        </is>
      </c>
      <c r="E110" t="inlineStr">
        <is>
          <t>GNOSJÖ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44383-2025</t>
        </is>
      </c>
      <c r="B111" s="1" t="n">
        <v>45916</v>
      </c>
      <c r="C111" s="1" t="n">
        <v>46194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44394-2025</t>
        </is>
      </c>
      <c r="B112" s="1" t="n">
        <v>45916</v>
      </c>
      <c r="C112" s="1" t="n">
        <v>46194</v>
      </c>
      <c r="D112" t="inlineStr">
        <is>
          <t>JÖNKÖPINGS LÄN</t>
        </is>
      </c>
      <c r="E112" t="inlineStr">
        <is>
          <t>GNOSJÖ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16303-2023</t>
        </is>
      </c>
      <c r="B113" s="1" t="n">
        <v>45028</v>
      </c>
      <c r="C113" s="1" t="n">
        <v>46194</v>
      </c>
      <c r="D113" t="inlineStr">
        <is>
          <t>JÖNKÖPINGS LÄN</t>
        </is>
      </c>
      <c r="E113" t="inlineStr">
        <is>
          <t>GNOSJÖ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37864-2025</t>
        </is>
      </c>
      <c r="B114" s="1" t="n">
        <v>45881</v>
      </c>
      <c r="C114" s="1" t="n">
        <v>46194</v>
      </c>
      <c r="D114" t="inlineStr">
        <is>
          <t>JÖNKÖPINGS LÄN</t>
        </is>
      </c>
      <c r="E114" t="inlineStr">
        <is>
          <t>GNOSJÖ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51901-2022</t>
        </is>
      </c>
      <c r="B115" s="1" t="n">
        <v>44872</v>
      </c>
      <c r="C115" s="1" t="n">
        <v>46194</v>
      </c>
      <c r="D115" t="inlineStr">
        <is>
          <t>JÖNKÖPINGS LÄN</t>
        </is>
      </c>
      <c r="E115" t="inlineStr">
        <is>
          <t>GNOSJÖ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8119-2025</t>
        </is>
      </c>
      <c r="B116" s="1" t="n">
        <v>45707</v>
      </c>
      <c r="C116" s="1" t="n">
        <v>46194</v>
      </c>
      <c r="D116" t="inlineStr">
        <is>
          <t>JÖNKÖPINGS LÄN</t>
        </is>
      </c>
      <c r="E116" t="inlineStr">
        <is>
          <t>GNOSJÖ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270-2023</t>
        </is>
      </c>
      <c r="B117" s="1" t="n">
        <v>44928</v>
      </c>
      <c r="C117" s="1" t="n">
        <v>46194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47283-2021</t>
        </is>
      </c>
      <c r="B118" s="1" t="n">
        <v>44447</v>
      </c>
      <c r="C118" s="1" t="n">
        <v>46194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41918-2022</t>
        </is>
      </c>
      <c r="B119" s="1" t="n">
        <v>44830</v>
      </c>
      <c r="C119" s="1" t="n">
        <v>46194</v>
      </c>
      <c r="D119" t="inlineStr">
        <is>
          <t>JÖNKÖPINGS LÄN</t>
        </is>
      </c>
      <c r="E119" t="inlineStr">
        <is>
          <t>GNOSJÖ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29707-2024</t>
        </is>
      </c>
      <c r="B120" s="1" t="n">
        <v>45485</v>
      </c>
      <c r="C120" s="1" t="n">
        <v>46194</v>
      </c>
      <c r="D120" t="inlineStr">
        <is>
          <t>JÖNKÖPINGS LÄN</t>
        </is>
      </c>
      <c r="E120" t="inlineStr">
        <is>
          <t>GNOSJÖ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57730-2023</t>
        </is>
      </c>
      <c r="B121" s="1" t="n">
        <v>45246</v>
      </c>
      <c r="C121" s="1" t="n">
        <v>46194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6763-2025</t>
        </is>
      </c>
      <c r="B122" s="1" t="n">
        <v>45700</v>
      </c>
      <c r="C122" s="1" t="n">
        <v>46194</v>
      </c>
      <c r="D122" t="inlineStr">
        <is>
          <t>JÖNKÖPINGS LÄN</t>
        </is>
      </c>
      <c r="E122" t="inlineStr">
        <is>
          <t>GNOSJÖ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18314-2024</t>
        </is>
      </c>
      <c r="B123" s="1" t="n">
        <v>45422</v>
      </c>
      <c r="C123" s="1" t="n">
        <v>46194</v>
      </c>
      <c r="D123" t="inlineStr">
        <is>
          <t>JÖNKÖPINGS LÄN</t>
        </is>
      </c>
      <c r="E123" t="inlineStr">
        <is>
          <t>GNOSJÖ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15653-2025</t>
        </is>
      </c>
      <c r="B124" s="1" t="n">
        <v>45748</v>
      </c>
      <c r="C124" s="1" t="n">
        <v>46194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52813-2021</t>
        </is>
      </c>
      <c r="B125" s="1" t="n">
        <v>44467</v>
      </c>
      <c r="C125" s="1" t="n">
        <v>46194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42280-2023</t>
        </is>
      </c>
      <c r="B126" s="1" t="n">
        <v>45180</v>
      </c>
      <c r="C126" s="1" t="n">
        <v>46194</v>
      </c>
      <c r="D126" t="inlineStr">
        <is>
          <t>JÖNKÖPINGS LÄN</t>
        </is>
      </c>
      <c r="E126" t="inlineStr">
        <is>
          <t>GNOSJÖ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27258-2023</t>
        </is>
      </c>
      <c r="B127" s="1" t="n">
        <v>45096</v>
      </c>
      <c r="C127" s="1" t="n">
        <v>46194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50728-2025</t>
        </is>
      </c>
      <c r="B128" s="1" t="n">
        <v>45946</v>
      </c>
      <c r="C128" s="1" t="n">
        <v>46194</v>
      </c>
      <c r="D128" t="inlineStr">
        <is>
          <t>JÖNKÖPINGS LÄN</t>
        </is>
      </c>
      <c r="E128" t="inlineStr">
        <is>
          <t>GNOSJÖ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24861-2025</t>
        </is>
      </c>
      <c r="B129" s="1" t="n">
        <v>45799</v>
      </c>
      <c r="C129" s="1" t="n">
        <v>46194</v>
      </c>
      <c r="D129" t="inlineStr">
        <is>
          <t>JÖNKÖPINGS LÄN</t>
        </is>
      </c>
      <c r="E129" t="inlineStr">
        <is>
          <t>GNOSJÖ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48188-2022</t>
        </is>
      </c>
      <c r="B130" s="1" t="n">
        <v>44853</v>
      </c>
      <c r="C130" s="1" t="n">
        <v>46194</v>
      </c>
      <c r="D130" t="inlineStr">
        <is>
          <t>JÖNKÖPINGS LÄN</t>
        </is>
      </c>
      <c r="E130" t="inlineStr">
        <is>
          <t>GNOSJÖ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47022-2021</t>
        </is>
      </c>
      <c r="B131" s="1" t="n">
        <v>44446</v>
      </c>
      <c r="C131" s="1" t="n">
        <v>46194</v>
      </c>
      <c r="D131" t="inlineStr">
        <is>
          <t>JÖNKÖPINGS LÄN</t>
        </is>
      </c>
      <c r="E131" t="inlineStr">
        <is>
          <t>GNOSJÖ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26746-2023</t>
        </is>
      </c>
      <c r="B132" s="1" t="n">
        <v>45093</v>
      </c>
      <c r="C132" s="1" t="n">
        <v>46194</v>
      </c>
      <c r="D132" t="inlineStr">
        <is>
          <t>JÖNKÖPINGS LÄN</t>
        </is>
      </c>
      <c r="E132" t="inlineStr">
        <is>
          <t>GNOSJÖ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</v>
      </c>
      <c r="C133" s="1" t="n">
        <v>46194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25482-2025</t>
        </is>
      </c>
      <c r="B134" s="1" t="n">
        <v>45802</v>
      </c>
      <c r="C134" s="1" t="n">
        <v>46194</v>
      </c>
      <c r="D134" t="inlineStr">
        <is>
          <t>JÖNKÖPINGS LÄN</t>
        </is>
      </c>
      <c r="E134" t="inlineStr">
        <is>
          <t>GNOSJÖ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15436-2024</t>
        </is>
      </c>
      <c r="B135" s="1" t="n">
        <v>45401</v>
      </c>
      <c r="C135" s="1" t="n">
        <v>46194</v>
      </c>
      <c r="D135" t="inlineStr">
        <is>
          <t>JÖNKÖPINGS LÄN</t>
        </is>
      </c>
      <c r="E135" t="inlineStr">
        <is>
          <t>GNOSJÖ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53895-2025</t>
        </is>
      </c>
      <c r="B136" s="1" t="n">
        <v>45961</v>
      </c>
      <c r="C136" s="1" t="n">
        <v>46194</v>
      </c>
      <c r="D136" t="inlineStr">
        <is>
          <t>JÖNKÖPINGS LÄN</t>
        </is>
      </c>
      <c r="E136" t="inlineStr">
        <is>
          <t>GNOSJÖ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53845-2025</t>
        </is>
      </c>
      <c r="B137" s="1" t="n">
        <v>45961</v>
      </c>
      <c r="C137" s="1" t="n">
        <v>46194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11157-2024</t>
        </is>
      </c>
      <c r="B138" s="1" t="n">
        <v>45371</v>
      </c>
      <c r="C138" s="1" t="n">
        <v>46194</v>
      </c>
      <c r="D138" t="inlineStr">
        <is>
          <t>JÖNKÖPINGS LÄN</t>
        </is>
      </c>
      <c r="E138" t="inlineStr">
        <is>
          <t>GNOSJÖ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11163-2024</t>
        </is>
      </c>
      <c r="B139" s="1" t="n">
        <v>45371</v>
      </c>
      <c r="C139" s="1" t="n">
        <v>46194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7316-2024</t>
        </is>
      </c>
      <c r="B140" s="1" t="n">
        <v>45345</v>
      </c>
      <c r="C140" s="1" t="n">
        <v>46194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56240-2025</t>
        </is>
      </c>
      <c r="B141" s="1" t="n">
        <v>45974</v>
      </c>
      <c r="C141" s="1" t="n">
        <v>46194</v>
      </c>
      <c r="D141" t="inlineStr">
        <is>
          <t>JÖNKÖPINGS LÄN</t>
        </is>
      </c>
      <c r="E141" t="inlineStr">
        <is>
          <t>GNOSJÖ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55918-2025</t>
        </is>
      </c>
      <c r="B142" s="1" t="n">
        <v>45973</v>
      </c>
      <c r="C142" s="1" t="n">
        <v>46194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22650-2024</t>
        </is>
      </c>
      <c r="B143" s="1" t="n">
        <v>45447</v>
      </c>
      <c r="C143" s="1" t="n">
        <v>46194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56554-2025</t>
        </is>
      </c>
      <c r="B144" s="1" t="n">
        <v>45975</v>
      </c>
      <c r="C144" s="1" t="n">
        <v>46194</v>
      </c>
      <c r="D144" t="inlineStr">
        <is>
          <t>JÖNKÖPINGS LÄN</t>
        </is>
      </c>
      <c r="E144" t="inlineStr">
        <is>
          <t>GNOSJÖ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30669-2025</t>
        </is>
      </c>
      <c r="B145" s="1" t="n">
        <v>45831</v>
      </c>
      <c r="C145" s="1" t="n">
        <v>46194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30654-2025</t>
        </is>
      </c>
      <c r="B146" s="1" t="n">
        <v>45831</v>
      </c>
      <c r="C146" s="1" t="n">
        <v>46194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31235-2025</t>
        </is>
      </c>
      <c r="B147" s="1" t="n">
        <v>45832</v>
      </c>
      <c r="C147" s="1" t="n">
        <v>46194</v>
      </c>
      <c r="D147" t="inlineStr">
        <is>
          <t>JÖNKÖPINGS LÄN</t>
        </is>
      </c>
      <c r="E147" t="inlineStr">
        <is>
          <t>GNOSJÖ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31228-2025</t>
        </is>
      </c>
      <c r="B148" s="1" t="n">
        <v>45832</v>
      </c>
      <c r="C148" s="1" t="n">
        <v>46194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57012-2025</t>
        </is>
      </c>
      <c r="B149" s="1" t="n">
        <v>45978</v>
      </c>
      <c r="C149" s="1" t="n">
        <v>46194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26210-2024</t>
        </is>
      </c>
      <c r="B150" s="1" t="n">
        <v>45468</v>
      </c>
      <c r="C150" s="1" t="n">
        <v>46194</v>
      </c>
      <c r="D150" t="inlineStr">
        <is>
          <t>JÖNKÖPINGS LÄN</t>
        </is>
      </c>
      <c r="E150" t="inlineStr">
        <is>
          <t>GNOSJÖ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57010-2025</t>
        </is>
      </c>
      <c r="B151" s="1" t="n">
        <v>45978</v>
      </c>
      <c r="C151" s="1" t="n">
        <v>46194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60859-2024</t>
        </is>
      </c>
      <c r="B152" s="1" t="n">
        <v>45644</v>
      </c>
      <c r="C152" s="1" t="n">
        <v>46194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58780-2025</t>
        </is>
      </c>
      <c r="B153" s="1" t="n">
        <v>45986</v>
      </c>
      <c r="C153" s="1" t="n">
        <v>46194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43787-2023</t>
        </is>
      </c>
      <c r="B154" s="1" t="n">
        <v>45187</v>
      </c>
      <c r="C154" s="1" t="n">
        <v>46194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43760-2023</t>
        </is>
      </c>
      <c r="B155" s="1" t="n">
        <v>45187</v>
      </c>
      <c r="C155" s="1" t="n">
        <v>46194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27675-2025</t>
        </is>
      </c>
      <c r="B156" s="1" t="n">
        <v>45813</v>
      </c>
      <c r="C156" s="1" t="n">
        <v>46194</v>
      </c>
      <c r="D156" t="inlineStr">
        <is>
          <t>JÖNKÖPINGS LÄN</t>
        </is>
      </c>
      <c r="E156" t="inlineStr">
        <is>
          <t>GNOSJÖ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43790-2023</t>
        </is>
      </c>
      <c r="B157" s="1" t="n">
        <v>45187</v>
      </c>
      <c r="C157" s="1" t="n">
        <v>46194</v>
      </c>
      <c r="D157" t="inlineStr">
        <is>
          <t>JÖNKÖPINGS LÄN</t>
        </is>
      </c>
      <c r="E157" t="inlineStr">
        <is>
          <t>GNOSJÖ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36508-2022</t>
        </is>
      </c>
      <c r="B158" s="1" t="n">
        <v>44804</v>
      </c>
      <c r="C158" s="1" t="n">
        <v>46194</v>
      </c>
      <c r="D158" t="inlineStr">
        <is>
          <t>JÖNKÖPINGS LÄN</t>
        </is>
      </c>
      <c r="E158" t="inlineStr">
        <is>
          <t>GNOSJÖ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35325-2023</t>
        </is>
      </c>
      <c r="B159" s="1" t="n">
        <v>45146</v>
      </c>
      <c r="C159" s="1" t="n">
        <v>46194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60351-2025</t>
        </is>
      </c>
      <c r="B160" s="1" t="n">
        <v>45995</v>
      </c>
      <c r="C160" s="1" t="n">
        <v>46194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10996-2024</t>
        </is>
      </c>
      <c r="B161" s="1" t="n">
        <v>45370</v>
      </c>
      <c r="C161" s="1" t="n">
        <v>46194</v>
      </c>
      <c r="D161" t="inlineStr">
        <is>
          <t>JÖNKÖPINGS LÄN</t>
        </is>
      </c>
      <c r="E161" t="inlineStr">
        <is>
          <t>GNOSJÖ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61411-2025</t>
        </is>
      </c>
      <c r="B162" s="1" t="n">
        <v>46000</v>
      </c>
      <c r="C162" s="1" t="n">
        <v>46194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40067-2023</t>
        </is>
      </c>
      <c r="B163" s="1" t="n">
        <v>45168</v>
      </c>
      <c r="C163" s="1" t="n">
        <v>46194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61677-2025</t>
        </is>
      </c>
      <c r="B164" s="1" t="n">
        <v>46002</v>
      </c>
      <c r="C164" s="1" t="n">
        <v>46194</v>
      </c>
      <c r="D164" t="inlineStr">
        <is>
          <t>JÖNKÖPINGS LÄN</t>
        </is>
      </c>
      <c r="E164" t="inlineStr">
        <is>
          <t>GNOSJÖ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61682-2025</t>
        </is>
      </c>
      <c r="B165" s="1" t="n">
        <v>46002</v>
      </c>
      <c r="C165" s="1" t="n">
        <v>46194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73961-2021</t>
        </is>
      </c>
      <c r="B166" s="1" t="n">
        <v>44553</v>
      </c>
      <c r="C166" s="1" t="n">
        <v>46194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61792-2025</t>
        </is>
      </c>
      <c r="B167" s="1" t="n">
        <v>46002</v>
      </c>
      <c r="C167" s="1" t="n">
        <v>46194</v>
      </c>
      <c r="D167" t="inlineStr">
        <is>
          <t>JÖNKÖPINGS LÄN</t>
        </is>
      </c>
      <c r="E167" t="inlineStr">
        <is>
          <t>GNOSJÖ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20078-2022</t>
        </is>
      </c>
      <c r="B168" s="1" t="n">
        <v>44698</v>
      </c>
      <c r="C168" s="1" t="n">
        <v>46194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6781-2022</t>
        </is>
      </c>
      <c r="B169" s="1" t="n">
        <v>44602</v>
      </c>
      <c r="C169" s="1" t="n">
        <v>46194</v>
      </c>
      <c r="D169" t="inlineStr">
        <is>
          <t>JÖNKÖPINGS LÄN</t>
        </is>
      </c>
      <c r="E169" t="inlineStr">
        <is>
          <t>GNOSJÖ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37198-2025</t>
        </is>
      </c>
      <c r="B170" s="1" t="n">
        <v>45875</v>
      </c>
      <c r="C170" s="1" t="n">
        <v>46194</v>
      </c>
      <c r="D170" t="inlineStr">
        <is>
          <t>JÖNKÖPINGS LÄN</t>
        </is>
      </c>
      <c r="E170" t="inlineStr">
        <is>
          <t>GNOSJÖ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63220-2025</t>
        </is>
      </c>
      <c r="B171" s="1" t="n">
        <v>46010</v>
      </c>
      <c r="C171" s="1" t="n">
        <v>46194</v>
      </c>
      <c r="D171" t="inlineStr">
        <is>
          <t>JÖNKÖPINGS LÄN</t>
        </is>
      </c>
      <c r="E171" t="inlineStr">
        <is>
          <t>GNOSJÖ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37666-2025</t>
        </is>
      </c>
      <c r="B172" s="1" t="n">
        <v>45880</v>
      </c>
      <c r="C172" s="1" t="n">
        <v>46194</v>
      </c>
      <c r="D172" t="inlineStr">
        <is>
          <t>JÖNKÖPINGS LÄN</t>
        </is>
      </c>
      <c r="E172" t="inlineStr">
        <is>
          <t>GNOSJÖ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36406-2022</t>
        </is>
      </c>
      <c r="B173" s="1" t="n">
        <v>44803</v>
      </c>
      <c r="C173" s="1" t="n">
        <v>46194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63511-2025</t>
        </is>
      </c>
      <c r="B174" s="1" t="n">
        <v>46013</v>
      </c>
      <c r="C174" s="1" t="n">
        <v>46194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27036-2023</t>
        </is>
      </c>
      <c r="B175" s="1" t="n">
        <v>45095</v>
      </c>
      <c r="C175" s="1" t="n">
        <v>46194</v>
      </c>
      <c r="D175" t="inlineStr">
        <is>
          <t>JÖNKÖPINGS LÄN</t>
        </is>
      </c>
      <c r="E175" t="inlineStr">
        <is>
          <t>GNOSJÖ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9828-2025</t>
        </is>
      </c>
      <c r="B176" s="1" t="n">
        <v>45716</v>
      </c>
      <c r="C176" s="1" t="n">
        <v>46194</v>
      </c>
      <c r="D176" t="inlineStr">
        <is>
          <t>JÖNKÖPINGS LÄN</t>
        </is>
      </c>
      <c r="E176" t="inlineStr">
        <is>
          <t>GNOSJÖ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43786-2023</t>
        </is>
      </c>
      <c r="B177" s="1" t="n">
        <v>45187</v>
      </c>
      <c r="C177" s="1" t="n">
        <v>46194</v>
      </c>
      <c r="D177" t="inlineStr">
        <is>
          <t>JÖNKÖPINGS LÄN</t>
        </is>
      </c>
      <c r="E177" t="inlineStr">
        <is>
          <t>GNOSJÖ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27729-2026</t>
        </is>
      </c>
      <c r="B178" s="1" t="n">
        <v>46191</v>
      </c>
      <c r="C178" s="1" t="n">
        <v>46194</v>
      </c>
      <c r="D178" t="inlineStr">
        <is>
          <t>JÖNKÖPINGS LÄN</t>
        </is>
      </c>
      <c r="E178" t="inlineStr">
        <is>
          <t>GNOSJÖ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6747-2025</t>
        </is>
      </c>
      <c r="B179" s="1" t="n">
        <v>45700</v>
      </c>
      <c r="C179" s="1" t="n">
        <v>46194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1664-2026</t>
        </is>
      </c>
      <c r="B180" s="1" t="n">
        <v>46034</v>
      </c>
      <c r="C180" s="1" t="n">
        <v>46194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6789-2025</t>
        </is>
      </c>
      <c r="B181" s="1" t="n">
        <v>45700</v>
      </c>
      <c r="C181" s="1" t="n">
        <v>46194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59727-2024</t>
        </is>
      </c>
      <c r="B182" s="1" t="n">
        <v>45639</v>
      </c>
      <c r="C182" s="1" t="n">
        <v>46194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30961-2023</t>
        </is>
      </c>
      <c r="B183" s="1" t="n">
        <v>45113</v>
      </c>
      <c r="C183" s="1" t="n">
        <v>46194</v>
      </c>
      <c r="D183" t="inlineStr">
        <is>
          <t>JÖNKÖPINGS LÄN</t>
        </is>
      </c>
      <c r="E183" t="inlineStr">
        <is>
          <t>GNOSJÖ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16244-2025</t>
        </is>
      </c>
      <c r="B184" s="1" t="n">
        <v>45749</v>
      </c>
      <c r="C184" s="1" t="n">
        <v>46194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48227-2022</t>
        </is>
      </c>
      <c r="B185" s="1" t="n">
        <v>44858</v>
      </c>
      <c r="C185" s="1" t="n">
        <v>46194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58779-2025</t>
        </is>
      </c>
      <c r="B186" s="1" t="n">
        <v>45986</v>
      </c>
      <c r="C186" s="1" t="n">
        <v>46194</v>
      </c>
      <c r="D186" t="inlineStr">
        <is>
          <t>JÖNKÖPINGS LÄN</t>
        </is>
      </c>
      <c r="E186" t="inlineStr">
        <is>
          <t>GNOSJÖ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22846-2024</t>
        </is>
      </c>
      <c r="B187" s="1" t="n">
        <v>45448</v>
      </c>
      <c r="C187" s="1" t="n">
        <v>46194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9641-2026</t>
        </is>
      </c>
      <c r="B188" s="1" t="n">
        <v>46070</v>
      </c>
      <c r="C188" s="1" t="n">
        <v>46194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9624-2026</t>
        </is>
      </c>
      <c r="B189" s="1" t="n">
        <v>46070</v>
      </c>
      <c r="C189" s="1" t="n">
        <v>46194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9627-2026</t>
        </is>
      </c>
      <c r="B190" s="1" t="n">
        <v>46070</v>
      </c>
      <c r="C190" s="1" t="n">
        <v>46194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61531-2023</t>
        </is>
      </c>
      <c r="B191" s="1" t="n">
        <v>45265</v>
      </c>
      <c r="C191" s="1" t="n">
        <v>46194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11667-2026</t>
        </is>
      </c>
      <c r="B192" s="1" t="n">
        <v>46084</v>
      </c>
      <c r="C192" s="1" t="n">
        <v>46194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39668-2023</t>
        </is>
      </c>
      <c r="B193" s="1" t="n">
        <v>45167</v>
      </c>
      <c r="C193" s="1" t="n">
        <v>46194</v>
      </c>
      <c r="D193" t="inlineStr">
        <is>
          <t>JÖNKÖPINGS LÄN</t>
        </is>
      </c>
      <c r="E193" t="inlineStr">
        <is>
          <t>GNOSJÖ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5818-2023</t>
        </is>
      </c>
      <c r="B194" s="1" t="n">
        <v>44963</v>
      </c>
      <c r="C194" s="1" t="n">
        <v>46194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13600-2026</t>
        </is>
      </c>
      <c r="B195" s="1" t="n">
        <v>46097</v>
      </c>
      <c r="C195" s="1" t="n">
        <v>46194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23138-2026</t>
        </is>
      </c>
      <c r="B196" s="1" t="n">
        <v>46161</v>
      </c>
      <c r="C196" s="1" t="n">
        <v>46194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23132-2026</t>
        </is>
      </c>
      <c r="B197" s="1" t="n">
        <v>46161</v>
      </c>
      <c r="C197" s="1" t="n">
        <v>46194</v>
      </c>
      <c r="D197" t="inlineStr">
        <is>
          <t>JÖNKÖPINGS LÄN</t>
        </is>
      </c>
      <c r="E197" t="inlineStr">
        <is>
          <t>GNOSJÖ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17402-2026</t>
        </is>
      </c>
      <c r="B198" s="1" t="n">
        <v>46120</v>
      </c>
      <c r="C198" s="1" t="n">
        <v>46194</v>
      </c>
      <c r="D198" t="inlineStr">
        <is>
          <t>JÖNKÖPINGS LÄN</t>
        </is>
      </c>
      <c r="E198" t="inlineStr">
        <is>
          <t>GNOSJÖ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23836-2026</t>
        </is>
      </c>
      <c r="B199" s="1" t="n">
        <v>46167</v>
      </c>
      <c r="C199" s="1" t="n">
        <v>46194</v>
      </c>
      <c r="D199" t="inlineStr">
        <is>
          <t>JÖNKÖPINGS LÄN</t>
        </is>
      </c>
      <c r="E199" t="inlineStr">
        <is>
          <t>GNOSJÖ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18473-2026</t>
        </is>
      </c>
      <c r="B200" s="1" t="n">
        <v>46127</v>
      </c>
      <c r="C200" s="1" t="n">
        <v>46194</v>
      </c>
      <c r="D200" t="inlineStr">
        <is>
          <t>JÖNKÖPINGS LÄN</t>
        </is>
      </c>
      <c r="E200" t="inlineStr">
        <is>
          <t>GNOSJÖ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19171-2026</t>
        </is>
      </c>
      <c r="B201" s="1" t="n">
        <v>46132</v>
      </c>
      <c r="C201" s="1" t="n">
        <v>46194</v>
      </c>
      <c r="D201" t="inlineStr">
        <is>
          <t>JÖNKÖPINGS LÄN</t>
        </is>
      </c>
      <c r="E201" t="inlineStr">
        <is>
          <t>GNOSJÖ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18337-2026</t>
        </is>
      </c>
      <c r="B202" s="1" t="n">
        <v>46125</v>
      </c>
      <c r="C202" s="1" t="n">
        <v>46194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54833-2024</t>
        </is>
      </c>
      <c r="B203" s="1" t="n">
        <v>45618</v>
      </c>
      <c r="C203" s="1" t="n">
        <v>46194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21076-2025</t>
        </is>
      </c>
      <c r="B204" s="1" t="n">
        <v>45777</v>
      </c>
      <c r="C204" s="1" t="n">
        <v>46194</v>
      </c>
      <c r="D204" t="inlineStr">
        <is>
          <t>JÖNKÖPINGS LÄN</t>
        </is>
      </c>
      <c r="E204" t="inlineStr">
        <is>
          <t>GNOSJÖ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37963-2024</t>
        </is>
      </c>
      <c r="B205" s="1" t="n">
        <v>45544</v>
      </c>
      <c r="C205" s="1" t="n">
        <v>46194</v>
      </c>
      <c r="D205" t="inlineStr">
        <is>
          <t>JÖNKÖPINGS LÄN</t>
        </is>
      </c>
      <c r="E205" t="inlineStr">
        <is>
          <t>GNOSJÖ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36905-2024</t>
        </is>
      </c>
      <c r="B206" s="1" t="n">
        <v>45538</v>
      </c>
      <c r="C206" s="1" t="n">
        <v>46194</v>
      </c>
      <c r="D206" t="inlineStr">
        <is>
          <t>JÖNKÖPINGS LÄN</t>
        </is>
      </c>
      <c r="E206" t="inlineStr">
        <is>
          <t>GNOSJÖ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3987-2024</t>
        </is>
      </c>
      <c r="B207" s="1" t="n">
        <v>45322</v>
      </c>
      <c r="C207" s="1" t="n">
        <v>46194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2026-06-21T00:45:53Z</dcterms:created>
  <dcterms:modified xmlns:dcterms="http://purl.org/dc/terms/" xmlns:xsi="http://www.w3.org/2001/XMLSchema-instance" xsi:type="dcterms:W3CDTF">2026-06-21T00:45:53Z</dcterms:modified>
</cp:coreProperties>
</file>