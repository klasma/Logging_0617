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17322-2020</t>
        </is>
      </c>
      <c r="B2" s="1" t="n">
        <v>43922</v>
      </c>
      <c r="C2" s="1" t="n">
        <v>45695</v>
      </c>
      <c r="D2" t="inlineStr">
        <is>
          <t>JÖNKÖPINGS LÄN</t>
        </is>
      </c>
      <c r="E2" t="inlineStr">
        <is>
          <t>GNOSJÖ</t>
        </is>
      </c>
      <c r="G2" t="n">
        <v>1.4</v>
      </c>
      <c r="H2" t="n">
        <v>1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Fläcknycklar</t>
        </is>
      </c>
      <c r="S2">
        <f>HYPERLINK("https://klasma.github.io/Logging_0617/artfynd/A 17322-2020 artfynd.xlsx", "A 17322-2020")</f>
        <v/>
      </c>
      <c r="T2">
        <f>HYPERLINK("https://klasma.github.io/Logging_0617/kartor/A 17322-2020 karta.png", "A 17322-2020")</f>
        <v/>
      </c>
      <c r="V2">
        <f>HYPERLINK("https://klasma.github.io/Logging_0617/klagomål/A 17322-2020 FSC-klagomål.docx", "A 17322-2020")</f>
        <v/>
      </c>
      <c r="W2">
        <f>HYPERLINK("https://klasma.github.io/Logging_0617/klagomålsmail/A 17322-2020 FSC-klagomål mail.docx", "A 17322-2020")</f>
        <v/>
      </c>
      <c r="X2">
        <f>HYPERLINK("https://klasma.github.io/Logging_0617/tillsyn/A 17322-2020 tillsynsbegäran.docx", "A 17322-2020")</f>
        <v/>
      </c>
      <c r="Y2">
        <f>HYPERLINK("https://klasma.github.io/Logging_0617/tillsynsmail/A 17322-2020 tillsynsbegäran mail.docx", "A 17322-2020")</f>
        <v/>
      </c>
    </row>
    <row r="3" ht="15" customHeight="1">
      <c r="A3" t="inlineStr">
        <is>
          <t>A 38355-2023</t>
        </is>
      </c>
      <c r="B3" s="1" t="n">
        <v>45161</v>
      </c>
      <c r="C3" s="1" t="n">
        <v>45695</v>
      </c>
      <c r="D3" t="inlineStr">
        <is>
          <t>JÖNKÖPINGS LÄN</t>
        </is>
      </c>
      <c r="E3" t="inlineStr">
        <is>
          <t>GNOSJÖ</t>
        </is>
      </c>
      <c r="G3" t="n">
        <v>11.4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Mattlummer</t>
        </is>
      </c>
      <c r="S3">
        <f>HYPERLINK("https://klasma.github.io/Logging_0617/artfynd/A 38355-2023 artfynd.xlsx", "A 38355-2023")</f>
        <v/>
      </c>
      <c r="T3">
        <f>HYPERLINK("https://klasma.github.io/Logging_0617/kartor/A 38355-2023 karta.png", "A 38355-2023")</f>
        <v/>
      </c>
      <c r="V3">
        <f>HYPERLINK("https://klasma.github.io/Logging_0617/klagomål/A 38355-2023 FSC-klagomål.docx", "A 38355-2023")</f>
        <v/>
      </c>
      <c r="W3">
        <f>HYPERLINK("https://klasma.github.io/Logging_0617/klagomålsmail/A 38355-2023 FSC-klagomål mail.docx", "A 38355-2023")</f>
        <v/>
      </c>
      <c r="X3">
        <f>HYPERLINK("https://klasma.github.io/Logging_0617/tillsyn/A 38355-2023 tillsynsbegäran.docx", "A 38355-2023")</f>
        <v/>
      </c>
      <c r="Y3">
        <f>HYPERLINK("https://klasma.github.io/Logging_0617/tillsynsmail/A 38355-2023 tillsynsbegäran mail.docx", "A 38355-2023")</f>
        <v/>
      </c>
    </row>
    <row r="4" ht="15" customHeight="1">
      <c r="A4" t="inlineStr">
        <is>
          <t>A 7319-2024</t>
        </is>
      </c>
      <c r="B4" s="1" t="n">
        <v>45345</v>
      </c>
      <c r="C4" s="1" t="n">
        <v>45695</v>
      </c>
      <c r="D4" t="inlineStr">
        <is>
          <t>JÖNKÖPINGS LÄN</t>
        </is>
      </c>
      <c r="E4" t="inlineStr">
        <is>
          <t>GNOSJÖ</t>
        </is>
      </c>
      <c r="G4" t="n">
        <v>1.5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Blomkålssvamp</t>
        </is>
      </c>
      <c r="S4">
        <f>HYPERLINK("https://klasma.github.io/Logging_0617/artfynd/A 7319-2024 artfynd.xlsx", "A 7319-2024")</f>
        <v/>
      </c>
      <c r="T4">
        <f>HYPERLINK("https://klasma.github.io/Logging_0617/kartor/A 7319-2024 karta.png", "A 7319-2024")</f>
        <v/>
      </c>
      <c r="V4">
        <f>HYPERLINK("https://klasma.github.io/Logging_0617/klagomål/A 7319-2024 FSC-klagomål.docx", "A 7319-2024")</f>
        <v/>
      </c>
      <c r="W4">
        <f>HYPERLINK("https://klasma.github.io/Logging_0617/klagomålsmail/A 7319-2024 FSC-klagomål mail.docx", "A 7319-2024")</f>
        <v/>
      </c>
      <c r="X4">
        <f>HYPERLINK("https://klasma.github.io/Logging_0617/tillsyn/A 7319-2024 tillsynsbegäran.docx", "A 7319-2024")</f>
        <v/>
      </c>
      <c r="Y4">
        <f>HYPERLINK("https://klasma.github.io/Logging_0617/tillsynsmail/A 7319-2024 tillsynsbegäran mail.docx", "A 7319-2024")</f>
        <v/>
      </c>
    </row>
    <row r="5" ht="15" customHeight="1">
      <c r="A5" t="inlineStr">
        <is>
          <t>A 48551-2024</t>
        </is>
      </c>
      <c r="B5" s="1" t="n">
        <v>45593</v>
      </c>
      <c r="C5" s="1" t="n">
        <v>45695</v>
      </c>
      <c r="D5" t="inlineStr">
        <is>
          <t>JÖNKÖPINGS LÄN</t>
        </is>
      </c>
      <c r="E5" t="inlineStr">
        <is>
          <t>GNOSJÖ</t>
        </is>
      </c>
      <c r="G5" t="n">
        <v>8.1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Sommarfibbla</t>
        </is>
      </c>
      <c r="S5">
        <f>HYPERLINK("https://klasma.github.io/Logging_0617/artfynd/A 48551-2024 artfynd.xlsx", "A 48551-2024")</f>
        <v/>
      </c>
      <c r="T5">
        <f>HYPERLINK("https://klasma.github.io/Logging_0617/kartor/A 48551-2024 karta.png", "A 48551-2024")</f>
        <v/>
      </c>
      <c r="V5">
        <f>HYPERLINK("https://klasma.github.io/Logging_0617/klagomål/A 48551-2024 FSC-klagomål.docx", "A 48551-2024")</f>
        <v/>
      </c>
      <c r="W5">
        <f>HYPERLINK("https://klasma.github.io/Logging_0617/klagomålsmail/A 48551-2024 FSC-klagomål mail.docx", "A 48551-2024")</f>
        <v/>
      </c>
      <c r="X5">
        <f>HYPERLINK("https://klasma.github.io/Logging_0617/tillsyn/A 48551-2024 tillsynsbegäran.docx", "A 48551-2024")</f>
        <v/>
      </c>
      <c r="Y5">
        <f>HYPERLINK("https://klasma.github.io/Logging_0617/tillsynsmail/A 48551-2024 tillsynsbegäran mail.docx", "A 48551-2024")</f>
        <v/>
      </c>
    </row>
    <row r="6" ht="15" customHeight="1">
      <c r="A6" t="inlineStr">
        <is>
          <t>A 19140-2019</t>
        </is>
      </c>
      <c r="B6" s="1" t="n">
        <v>43564</v>
      </c>
      <c r="C6" s="1" t="n">
        <v>45695</v>
      </c>
      <c r="D6" t="inlineStr">
        <is>
          <t>JÖNKÖPINGS LÄN</t>
        </is>
      </c>
      <c r="E6" t="inlineStr">
        <is>
          <t>GNOSJÖ</t>
        </is>
      </c>
      <c r="G6" t="n">
        <v>0.9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22069-2019</t>
        </is>
      </c>
      <c r="B7" s="1" t="n">
        <v>43584</v>
      </c>
      <c r="C7" s="1" t="n">
        <v>45695</v>
      </c>
      <c r="D7" t="inlineStr">
        <is>
          <t>JÖNKÖPINGS LÄN</t>
        </is>
      </c>
      <c r="E7" t="inlineStr">
        <is>
          <t>GNOSJÖ</t>
        </is>
      </c>
      <c r="G7" t="n">
        <v>6.2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22838-2019</t>
        </is>
      </c>
      <c r="B8" s="1" t="n">
        <v>43591</v>
      </c>
      <c r="C8" s="1" t="n">
        <v>45695</v>
      </c>
      <c r="D8" t="inlineStr">
        <is>
          <t>JÖNKÖPINGS LÄN</t>
        </is>
      </c>
      <c r="E8" t="inlineStr">
        <is>
          <t>GNOSJÖ</t>
        </is>
      </c>
      <c r="G8" t="n">
        <v>1.1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36921-2019</t>
        </is>
      </c>
      <c r="B9" s="1" t="n">
        <v>43675</v>
      </c>
      <c r="C9" s="1" t="n">
        <v>45695</v>
      </c>
      <c r="D9" t="inlineStr">
        <is>
          <t>JÖNKÖPINGS LÄN</t>
        </is>
      </c>
      <c r="E9" t="inlineStr">
        <is>
          <t>GNOSJÖ</t>
        </is>
      </c>
      <c r="G9" t="n">
        <v>4.2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36874-2019</t>
        </is>
      </c>
      <c r="B10" s="1" t="n">
        <v>43675</v>
      </c>
      <c r="C10" s="1" t="n">
        <v>45695</v>
      </c>
      <c r="D10" t="inlineStr">
        <is>
          <t>JÖNKÖPINGS LÄN</t>
        </is>
      </c>
      <c r="E10" t="inlineStr">
        <is>
          <t>GNOSJÖ</t>
        </is>
      </c>
      <c r="G10" t="n">
        <v>0.6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36903-2019</t>
        </is>
      </c>
      <c r="B11" s="1" t="n">
        <v>43675</v>
      </c>
      <c r="C11" s="1" t="n">
        <v>45695</v>
      </c>
      <c r="D11" t="inlineStr">
        <is>
          <t>JÖNKÖPINGS LÄN</t>
        </is>
      </c>
      <c r="E11" t="inlineStr">
        <is>
          <t>GNOSJÖ</t>
        </is>
      </c>
      <c r="G11" t="n">
        <v>5.1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36919-2019</t>
        </is>
      </c>
      <c r="B12" s="1" t="n">
        <v>43675</v>
      </c>
      <c r="C12" s="1" t="n">
        <v>45695</v>
      </c>
      <c r="D12" t="inlineStr">
        <is>
          <t>JÖNKÖPINGS LÄN</t>
        </is>
      </c>
      <c r="E12" t="inlineStr">
        <is>
          <t>GNOSJÖ</t>
        </is>
      </c>
      <c r="G12" t="n">
        <v>4.4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40643-2019</t>
        </is>
      </c>
      <c r="B13" s="1" t="n">
        <v>43696</v>
      </c>
      <c r="C13" s="1" t="n">
        <v>45695</v>
      </c>
      <c r="D13" t="inlineStr">
        <is>
          <t>JÖNKÖPINGS LÄN</t>
        </is>
      </c>
      <c r="E13" t="inlineStr">
        <is>
          <t>GNOSJÖ</t>
        </is>
      </c>
      <c r="G13" t="n">
        <v>3.3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47044-2019</t>
        </is>
      </c>
      <c r="B14" s="1" t="n">
        <v>43720</v>
      </c>
      <c r="C14" s="1" t="n">
        <v>45695</v>
      </c>
      <c r="D14" t="inlineStr">
        <is>
          <t>JÖNKÖPINGS LÄN</t>
        </is>
      </c>
      <c r="E14" t="inlineStr">
        <is>
          <t>GNOSJÖ</t>
        </is>
      </c>
      <c r="F14" t="inlineStr">
        <is>
          <t>Sveaskog</t>
        </is>
      </c>
      <c r="G14" t="n">
        <v>3.8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48035-2019</t>
        </is>
      </c>
      <c r="B15" s="1" t="n">
        <v>43725</v>
      </c>
      <c r="C15" s="1" t="n">
        <v>45695</v>
      </c>
      <c r="D15" t="inlineStr">
        <is>
          <t>JÖNKÖPINGS LÄN</t>
        </is>
      </c>
      <c r="E15" t="inlineStr">
        <is>
          <t>GNOSJÖ</t>
        </is>
      </c>
      <c r="G15" t="n">
        <v>1.2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48533-2019</t>
        </is>
      </c>
      <c r="B16" s="1" t="n">
        <v>43727</v>
      </c>
      <c r="C16" s="1" t="n">
        <v>45695</v>
      </c>
      <c r="D16" t="inlineStr">
        <is>
          <t>JÖNKÖPINGS LÄN</t>
        </is>
      </c>
      <c r="E16" t="inlineStr">
        <is>
          <t>GNOSJÖ</t>
        </is>
      </c>
      <c r="G16" t="n">
        <v>3.6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49160-2019</t>
        </is>
      </c>
      <c r="B17" s="1" t="n">
        <v>43727</v>
      </c>
      <c r="C17" s="1" t="n">
        <v>45695</v>
      </c>
      <c r="D17" t="inlineStr">
        <is>
          <t>JÖNKÖPINGS LÄN</t>
        </is>
      </c>
      <c r="E17" t="inlineStr">
        <is>
          <t>GNOSJÖ</t>
        </is>
      </c>
      <c r="G17" t="n">
        <v>2.5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49222-2019</t>
        </is>
      </c>
      <c r="B18" s="1" t="n">
        <v>43731</v>
      </c>
      <c r="C18" s="1" t="n">
        <v>45695</v>
      </c>
      <c r="D18" t="inlineStr">
        <is>
          <t>JÖNKÖPINGS LÄN</t>
        </is>
      </c>
      <c r="E18" t="inlineStr">
        <is>
          <t>GNOSJÖ</t>
        </is>
      </c>
      <c r="F18" t="inlineStr">
        <is>
          <t>Sveaskog</t>
        </is>
      </c>
      <c r="G18" t="n">
        <v>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51799-2019</t>
        </is>
      </c>
      <c r="B19" s="1" t="n">
        <v>43741</v>
      </c>
      <c r="C19" s="1" t="n">
        <v>45695</v>
      </c>
      <c r="D19" t="inlineStr">
        <is>
          <t>JÖNKÖPINGS LÄN</t>
        </is>
      </c>
      <c r="E19" t="inlineStr">
        <is>
          <t>GNOSJÖ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51817-2019</t>
        </is>
      </c>
      <c r="B20" s="1" t="n">
        <v>43741</v>
      </c>
      <c r="C20" s="1" t="n">
        <v>45695</v>
      </c>
      <c r="D20" t="inlineStr">
        <is>
          <t>JÖNKÖPINGS LÄN</t>
        </is>
      </c>
      <c r="E20" t="inlineStr">
        <is>
          <t>GNOSJÖ</t>
        </is>
      </c>
      <c r="G20" t="n">
        <v>2.2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52067-2019</t>
        </is>
      </c>
      <c r="B21" s="1" t="n">
        <v>43742</v>
      </c>
      <c r="C21" s="1" t="n">
        <v>45695</v>
      </c>
      <c r="D21" t="inlineStr">
        <is>
          <t>JÖNKÖPINGS LÄN</t>
        </is>
      </c>
      <c r="E21" t="inlineStr">
        <is>
          <t>GNOSJÖ</t>
        </is>
      </c>
      <c r="G21" t="n">
        <v>2.6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52076-2019</t>
        </is>
      </c>
      <c r="B22" s="1" t="n">
        <v>43742</v>
      </c>
      <c r="C22" s="1" t="n">
        <v>45695</v>
      </c>
      <c r="D22" t="inlineStr">
        <is>
          <t>JÖNKÖPINGS LÄN</t>
        </is>
      </c>
      <c r="E22" t="inlineStr">
        <is>
          <t>GNOSJÖ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52417-2019</t>
        </is>
      </c>
      <c r="B23" s="1" t="n">
        <v>43745</v>
      </c>
      <c r="C23" s="1" t="n">
        <v>45695</v>
      </c>
      <c r="D23" t="inlineStr">
        <is>
          <t>JÖNKÖPINGS LÄN</t>
        </is>
      </c>
      <c r="E23" t="inlineStr">
        <is>
          <t>GNOSJÖ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54227-2019</t>
        </is>
      </c>
      <c r="B24" s="1" t="n">
        <v>43745</v>
      </c>
      <c r="C24" s="1" t="n">
        <v>45695</v>
      </c>
      <c r="D24" t="inlineStr">
        <is>
          <t>JÖNKÖPINGS LÄN</t>
        </is>
      </c>
      <c r="E24" t="inlineStr">
        <is>
          <t>GNOSJÖ</t>
        </is>
      </c>
      <c r="G24" t="n">
        <v>2.5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58188-2019</t>
        </is>
      </c>
      <c r="B25" s="1" t="n">
        <v>43770</v>
      </c>
      <c r="C25" s="1" t="n">
        <v>45695</v>
      </c>
      <c r="D25" t="inlineStr">
        <is>
          <t>JÖNKÖPINGS LÄN</t>
        </is>
      </c>
      <c r="E25" t="inlineStr">
        <is>
          <t>GNOSJÖ</t>
        </is>
      </c>
      <c r="G25" t="n">
        <v>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58209-2019</t>
        </is>
      </c>
      <c r="B26" s="1" t="n">
        <v>43770</v>
      </c>
      <c r="C26" s="1" t="n">
        <v>45695</v>
      </c>
      <c r="D26" t="inlineStr">
        <is>
          <t>JÖNKÖPINGS LÄN</t>
        </is>
      </c>
      <c r="E26" t="inlineStr">
        <is>
          <t>GNOSJÖ</t>
        </is>
      </c>
      <c r="G26" t="n">
        <v>2.3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58559-2019</t>
        </is>
      </c>
      <c r="B27" s="1" t="n">
        <v>43773</v>
      </c>
      <c r="C27" s="1" t="n">
        <v>45695</v>
      </c>
      <c r="D27" t="inlineStr">
        <is>
          <t>JÖNKÖPINGS LÄN</t>
        </is>
      </c>
      <c r="E27" t="inlineStr">
        <is>
          <t>GNOSJÖ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60327-2019</t>
        </is>
      </c>
      <c r="B28" s="1" t="n">
        <v>43780</v>
      </c>
      <c r="C28" s="1" t="n">
        <v>45695</v>
      </c>
      <c r="D28" t="inlineStr">
        <is>
          <t>JÖNKÖPINGS LÄN</t>
        </is>
      </c>
      <c r="E28" t="inlineStr">
        <is>
          <t>GNOSJÖ</t>
        </is>
      </c>
      <c r="G28" t="n">
        <v>6.6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63200-2019</t>
        </is>
      </c>
      <c r="B29" s="1" t="n">
        <v>43791</v>
      </c>
      <c r="C29" s="1" t="n">
        <v>45695</v>
      </c>
      <c r="D29" t="inlineStr">
        <is>
          <t>JÖNKÖPINGS LÄN</t>
        </is>
      </c>
      <c r="E29" t="inlineStr">
        <is>
          <t>GNOSJÖ</t>
        </is>
      </c>
      <c r="G29" t="n">
        <v>4.2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582-2020</t>
        </is>
      </c>
      <c r="B30" s="1" t="n">
        <v>43838</v>
      </c>
      <c r="C30" s="1" t="n">
        <v>45695</v>
      </c>
      <c r="D30" t="inlineStr">
        <is>
          <t>JÖNKÖPINGS LÄN</t>
        </is>
      </c>
      <c r="E30" t="inlineStr">
        <is>
          <t>GNOSJÖ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6120-2020</t>
        </is>
      </c>
      <c r="B31" s="1" t="n">
        <v>43865</v>
      </c>
      <c r="C31" s="1" t="n">
        <v>45695</v>
      </c>
      <c r="D31" t="inlineStr">
        <is>
          <t>JÖNKÖPINGS LÄN</t>
        </is>
      </c>
      <c r="E31" t="inlineStr">
        <is>
          <t>GNOSJÖ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7158-2020</t>
        </is>
      </c>
      <c r="B32" s="1" t="n">
        <v>43870</v>
      </c>
      <c r="C32" s="1" t="n">
        <v>45695</v>
      </c>
      <c r="D32" t="inlineStr">
        <is>
          <t>JÖNKÖPINGS LÄN</t>
        </is>
      </c>
      <c r="E32" t="inlineStr">
        <is>
          <t>GNOSJÖ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7157-2020</t>
        </is>
      </c>
      <c r="B33" s="1" t="n">
        <v>43870</v>
      </c>
      <c r="C33" s="1" t="n">
        <v>45695</v>
      </c>
      <c r="D33" t="inlineStr">
        <is>
          <t>JÖNKÖPINGS LÄN</t>
        </is>
      </c>
      <c r="E33" t="inlineStr">
        <is>
          <t>GNOSJÖ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10951-2020</t>
        </is>
      </c>
      <c r="B34" s="1" t="n">
        <v>43889</v>
      </c>
      <c r="C34" s="1" t="n">
        <v>45695</v>
      </c>
      <c r="D34" t="inlineStr">
        <is>
          <t>JÖNKÖPINGS LÄN</t>
        </is>
      </c>
      <c r="E34" t="inlineStr">
        <is>
          <t>GNOSJÖ</t>
        </is>
      </c>
      <c r="G34" t="n">
        <v>5.9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13168-2020</t>
        </is>
      </c>
      <c r="B35" s="1" t="n">
        <v>43901</v>
      </c>
      <c r="C35" s="1" t="n">
        <v>45695</v>
      </c>
      <c r="D35" t="inlineStr">
        <is>
          <t>JÖNKÖPINGS LÄN</t>
        </is>
      </c>
      <c r="E35" t="inlineStr">
        <is>
          <t>GNOSJÖ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13982-2020</t>
        </is>
      </c>
      <c r="B36" s="1" t="n">
        <v>43906</v>
      </c>
      <c r="C36" s="1" t="n">
        <v>45695</v>
      </c>
      <c r="D36" t="inlineStr">
        <is>
          <t>JÖNKÖPINGS LÄN</t>
        </is>
      </c>
      <c r="E36" t="inlineStr">
        <is>
          <t>GNOSJÖ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15243-2020</t>
        </is>
      </c>
      <c r="B37" s="1" t="n">
        <v>43913</v>
      </c>
      <c r="C37" s="1" t="n">
        <v>45695</v>
      </c>
      <c r="D37" t="inlineStr">
        <is>
          <t>JÖNKÖPINGS LÄN</t>
        </is>
      </c>
      <c r="E37" t="inlineStr">
        <is>
          <t>GNOSJÖ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16213-2020</t>
        </is>
      </c>
      <c r="B38" s="1" t="n">
        <v>43917</v>
      </c>
      <c r="C38" s="1" t="n">
        <v>45695</v>
      </c>
      <c r="D38" t="inlineStr">
        <is>
          <t>JÖNKÖPINGS LÄN</t>
        </is>
      </c>
      <c r="E38" t="inlineStr">
        <is>
          <t>GNOSJÖ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21619-2020</t>
        </is>
      </c>
      <c r="B39" s="1" t="n">
        <v>43957</v>
      </c>
      <c r="C39" s="1" t="n">
        <v>45695</v>
      </c>
      <c r="D39" t="inlineStr">
        <is>
          <t>JÖNKÖPINGS LÄN</t>
        </is>
      </c>
      <c r="E39" t="inlineStr">
        <is>
          <t>GNOSJÖ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29036-2020</t>
        </is>
      </c>
      <c r="B40" s="1" t="n">
        <v>44000</v>
      </c>
      <c r="C40" s="1" t="n">
        <v>45695</v>
      </c>
      <c r="D40" t="inlineStr">
        <is>
          <t>JÖNKÖPINGS LÄN</t>
        </is>
      </c>
      <c r="E40" t="inlineStr">
        <is>
          <t>GNOSJÖ</t>
        </is>
      </c>
      <c r="F40" t="inlineStr">
        <is>
          <t>Kommuner</t>
        </is>
      </c>
      <c r="G40" t="n">
        <v>4.9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35143-2020</t>
        </is>
      </c>
      <c r="B41" s="1" t="n">
        <v>44040</v>
      </c>
      <c r="C41" s="1" t="n">
        <v>45695</v>
      </c>
      <c r="D41" t="inlineStr">
        <is>
          <t>JÖNKÖPINGS LÄN</t>
        </is>
      </c>
      <c r="E41" t="inlineStr">
        <is>
          <t>GNOSJÖ</t>
        </is>
      </c>
      <c r="G41" t="n">
        <v>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35144-2020</t>
        </is>
      </c>
      <c r="B42" s="1" t="n">
        <v>44040</v>
      </c>
      <c r="C42" s="1" t="n">
        <v>45695</v>
      </c>
      <c r="D42" t="inlineStr">
        <is>
          <t>JÖNKÖPINGS LÄN</t>
        </is>
      </c>
      <c r="E42" t="inlineStr">
        <is>
          <t>GNOSJÖ</t>
        </is>
      </c>
      <c r="G42" t="n">
        <v>5.5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43361-2020</t>
        </is>
      </c>
      <c r="B43" s="1" t="n">
        <v>44081</v>
      </c>
      <c r="C43" s="1" t="n">
        <v>45695</v>
      </c>
      <c r="D43" t="inlineStr">
        <is>
          <t>JÖNKÖPINGS LÄN</t>
        </is>
      </c>
      <c r="E43" t="inlineStr">
        <is>
          <t>GNOSJÖ</t>
        </is>
      </c>
      <c r="G43" t="n">
        <v>8.5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43360-2020</t>
        </is>
      </c>
      <c r="B44" s="1" t="n">
        <v>44081</v>
      </c>
      <c r="C44" s="1" t="n">
        <v>45695</v>
      </c>
      <c r="D44" t="inlineStr">
        <is>
          <t>JÖNKÖPINGS LÄN</t>
        </is>
      </c>
      <c r="E44" t="inlineStr">
        <is>
          <t>GNOSJÖ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44454-2020</t>
        </is>
      </c>
      <c r="B45" s="1" t="n">
        <v>44084</v>
      </c>
      <c r="C45" s="1" t="n">
        <v>45695</v>
      </c>
      <c r="D45" t="inlineStr">
        <is>
          <t>JÖNKÖPINGS LÄN</t>
        </is>
      </c>
      <c r="E45" t="inlineStr">
        <is>
          <t>GNOSJÖ</t>
        </is>
      </c>
      <c r="G45" t="n">
        <v>4.5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45385-2020</t>
        </is>
      </c>
      <c r="B46" s="1" t="n">
        <v>44084</v>
      </c>
      <c r="C46" s="1" t="n">
        <v>45695</v>
      </c>
      <c r="D46" t="inlineStr">
        <is>
          <t>JÖNKÖPINGS LÄN</t>
        </is>
      </c>
      <c r="E46" t="inlineStr">
        <is>
          <t>GNOSJÖ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45332-2020</t>
        </is>
      </c>
      <c r="B47" s="1" t="n">
        <v>44089</v>
      </c>
      <c r="C47" s="1" t="n">
        <v>45695</v>
      </c>
      <c r="D47" t="inlineStr">
        <is>
          <t>JÖNKÖPINGS LÄN</t>
        </is>
      </c>
      <c r="E47" t="inlineStr">
        <is>
          <t>GNOSJÖ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48982-2020</t>
        </is>
      </c>
      <c r="B48" s="1" t="n">
        <v>44104</v>
      </c>
      <c r="C48" s="1" t="n">
        <v>45695</v>
      </c>
      <c r="D48" t="inlineStr">
        <is>
          <t>JÖNKÖPINGS LÄN</t>
        </is>
      </c>
      <c r="E48" t="inlineStr">
        <is>
          <t>GNOSJÖ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51733-2020</t>
        </is>
      </c>
      <c r="B49" s="1" t="n">
        <v>44114</v>
      </c>
      <c r="C49" s="1" t="n">
        <v>45695</v>
      </c>
      <c r="D49" t="inlineStr">
        <is>
          <t>JÖNKÖPINGS LÄN</t>
        </is>
      </c>
      <c r="E49" t="inlineStr">
        <is>
          <t>GNOSJÖ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51734-2020</t>
        </is>
      </c>
      <c r="B50" s="1" t="n">
        <v>44114</v>
      </c>
      <c r="C50" s="1" t="n">
        <v>45695</v>
      </c>
      <c r="D50" t="inlineStr">
        <is>
          <t>JÖNKÖPINGS LÄN</t>
        </is>
      </c>
      <c r="E50" t="inlineStr">
        <is>
          <t>GNOSJÖ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51763-2020</t>
        </is>
      </c>
      <c r="B51" s="1" t="n">
        <v>44115</v>
      </c>
      <c r="C51" s="1" t="n">
        <v>45695</v>
      </c>
      <c r="D51" t="inlineStr">
        <is>
          <t>JÖNKÖPINGS LÄN</t>
        </is>
      </c>
      <c r="E51" t="inlineStr">
        <is>
          <t>GNOSJÖ</t>
        </is>
      </c>
      <c r="G51" t="n">
        <v>3.2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54612-2020</t>
        </is>
      </c>
      <c r="B52" s="1" t="n">
        <v>44127</v>
      </c>
      <c r="C52" s="1" t="n">
        <v>45695</v>
      </c>
      <c r="D52" t="inlineStr">
        <is>
          <t>JÖNKÖPINGS LÄN</t>
        </is>
      </c>
      <c r="E52" t="inlineStr">
        <is>
          <t>GNOSJÖ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54723-2020</t>
        </is>
      </c>
      <c r="B53" s="1" t="n">
        <v>44127</v>
      </c>
      <c r="C53" s="1" t="n">
        <v>45695</v>
      </c>
      <c r="D53" t="inlineStr">
        <is>
          <t>JÖNKÖPINGS LÄN</t>
        </is>
      </c>
      <c r="E53" t="inlineStr">
        <is>
          <t>GNOSJÖ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56177-2020</t>
        </is>
      </c>
      <c r="B54" s="1" t="n">
        <v>44133</v>
      </c>
      <c r="C54" s="1" t="n">
        <v>45695</v>
      </c>
      <c r="D54" t="inlineStr">
        <is>
          <t>JÖNKÖPINGS LÄN</t>
        </is>
      </c>
      <c r="E54" t="inlineStr">
        <is>
          <t>GNOSJÖ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57441-2020</t>
        </is>
      </c>
      <c r="B55" s="1" t="n">
        <v>44140</v>
      </c>
      <c r="C55" s="1" t="n">
        <v>45695</v>
      </c>
      <c r="D55" t="inlineStr">
        <is>
          <t>JÖNKÖPINGS LÄN</t>
        </is>
      </c>
      <c r="E55" t="inlineStr">
        <is>
          <t>GNOSJÖ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58345-2020</t>
        </is>
      </c>
      <c r="B56" s="1" t="n">
        <v>44145</v>
      </c>
      <c r="C56" s="1" t="n">
        <v>45695</v>
      </c>
      <c r="D56" t="inlineStr">
        <is>
          <t>JÖNKÖPINGS LÄN</t>
        </is>
      </c>
      <c r="E56" t="inlineStr">
        <is>
          <t>GNOSJÖ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62698-2020</t>
        </is>
      </c>
      <c r="B57" s="1" t="n">
        <v>44161</v>
      </c>
      <c r="C57" s="1" t="n">
        <v>45695</v>
      </c>
      <c r="D57" t="inlineStr">
        <is>
          <t>JÖNKÖPINGS LÄN</t>
        </is>
      </c>
      <c r="E57" t="inlineStr">
        <is>
          <t>GNOSJÖ</t>
        </is>
      </c>
      <c r="G57" t="n">
        <v>3.7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62627-2020</t>
        </is>
      </c>
      <c r="B58" s="1" t="n">
        <v>44161</v>
      </c>
      <c r="C58" s="1" t="n">
        <v>45695</v>
      </c>
      <c r="D58" t="inlineStr">
        <is>
          <t>JÖNKÖPINGS LÄN</t>
        </is>
      </c>
      <c r="E58" t="inlineStr">
        <is>
          <t>GNOSJÖ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63906-2020</t>
        </is>
      </c>
      <c r="B59" s="1" t="n">
        <v>44166</v>
      </c>
      <c r="C59" s="1" t="n">
        <v>45695</v>
      </c>
      <c r="D59" t="inlineStr">
        <is>
          <t>JÖNKÖPINGS LÄN</t>
        </is>
      </c>
      <c r="E59" t="inlineStr">
        <is>
          <t>GNOSJÖ</t>
        </is>
      </c>
      <c r="F59" t="inlineStr">
        <is>
          <t>Kommuner</t>
        </is>
      </c>
      <c r="G59" t="n">
        <v>6.6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64309-2020</t>
        </is>
      </c>
      <c r="B60" s="1" t="n">
        <v>44168</v>
      </c>
      <c r="C60" s="1" t="n">
        <v>45695</v>
      </c>
      <c r="D60" t="inlineStr">
        <is>
          <t>JÖNKÖPINGS LÄN</t>
        </is>
      </c>
      <c r="E60" t="inlineStr">
        <is>
          <t>GNOSJÖ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66454-2020</t>
        </is>
      </c>
      <c r="B61" s="1" t="n">
        <v>44174</v>
      </c>
      <c r="C61" s="1" t="n">
        <v>45695</v>
      </c>
      <c r="D61" t="inlineStr">
        <is>
          <t>JÖNKÖPINGS LÄN</t>
        </is>
      </c>
      <c r="E61" t="inlineStr">
        <is>
          <t>GNOSJÖ</t>
        </is>
      </c>
      <c r="F61" t="inlineStr">
        <is>
          <t>Kyrkan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66211-2020</t>
        </is>
      </c>
      <c r="B62" s="1" t="n">
        <v>44175</v>
      </c>
      <c r="C62" s="1" t="n">
        <v>45695</v>
      </c>
      <c r="D62" t="inlineStr">
        <is>
          <t>JÖNKÖPINGS LÄN</t>
        </is>
      </c>
      <c r="E62" t="inlineStr">
        <is>
          <t>GNOSJÖ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68418-2020</t>
        </is>
      </c>
      <c r="B63" s="1" t="n">
        <v>44186</v>
      </c>
      <c r="C63" s="1" t="n">
        <v>45695</v>
      </c>
      <c r="D63" t="inlineStr">
        <is>
          <t>JÖNKÖPINGS LÄN</t>
        </is>
      </c>
      <c r="E63" t="inlineStr">
        <is>
          <t>GNOSJÖ</t>
        </is>
      </c>
      <c r="G63" t="n">
        <v>7.3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581-2021</t>
        </is>
      </c>
      <c r="B64" s="1" t="n">
        <v>44203</v>
      </c>
      <c r="C64" s="1" t="n">
        <v>45695</v>
      </c>
      <c r="D64" t="inlineStr">
        <is>
          <t>JÖNKÖPINGS LÄN</t>
        </is>
      </c>
      <c r="E64" t="inlineStr">
        <is>
          <t>GNOSJÖ</t>
        </is>
      </c>
      <c r="G64" t="n">
        <v>15.2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2170-2021</t>
        </is>
      </c>
      <c r="B65" s="1" t="n">
        <v>44211</v>
      </c>
      <c r="C65" s="1" t="n">
        <v>45695</v>
      </c>
      <c r="D65" t="inlineStr">
        <is>
          <t>JÖNKÖPINGS LÄN</t>
        </is>
      </c>
      <c r="E65" t="inlineStr">
        <is>
          <t>GNOSJÖ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4261-2021</t>
        </is>
      </c>
      <c r="B66" s="1" t="n">
        <v>44223</v>
      </c>
      <c r="C66" s="1" t="n">
        <v>45695</v>
      </c>
      <c r="D66" t="inlineStr">
        <is>
          <t>JÖNKÖPINGS LÄN</t>
        </is>
      </c>
      <c r="E66" t="inlineStr">
        <is>
          <t>GNOSJÖ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5087-2021</t>
        </is>
      </c>
      <c r="B67" s="1" t="n">
        <v>44225</v>
      </c>
      <c r="C67" s="1" t="n">
        <v>45695</v>
      </c>
      <c r="D67" t="inlineStr">
        <is>
          <t>JÖNKÖPINGS LÄN</t>
        </is>
      </c>
      <c r="E67" t="inlineStr">
        <is>
          <t>GNOSJÖ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5007-2021</t>
        </is>
      </c>
      <c r="B68" s="1" t="n">
        <v>44228</v>
      </c>
      <c r="C68" s="1" t="n">
        <v>45695</v>
      </c>
      <c r="D68" t="inlineStr">
        <is>
          <t>JÖNKÖPINGS LÄN</t>
        </is>
      </c>
      <c r="E68" t="inlineStr">
        <is>
          <t>GNOSJÖ</t>
        </is>
      </c>
      <c r="G68" t="n">
        <v>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5737-2021</t>
        </is>
      </c>
      <c r="B69" s="1" t="n">
        <v>44230</v>
      </c>
      <c r="C69" s="1" t="n">
        <v>45695</v>
      </c>
      <c r="D69" t="inlineStr">
        <is>
          <t>JÖNKÖPINGS LÄN</t>
        </is>
      </c>
      <c r="E69" t="inlineStr">
        <is>
          <t>GNOSJÖ</t>
        </is>
      </c>
      <c r="G69" t="n">
        <v>14.9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5612-2021</t>
        </is>
      </c>
      <c r="B70" s="1" t="n">
        <v>44230</v>
      </c>
      <c r="C70" s="1" t="n">
        <v>45695</v>
      </c>
      <c r="D70" t="inlineStr">
        <is>
          <t>JÖNKÖPINGS LÄN</t>
        </is>
      </c>
      <c r="E70" t="inlineStr">
        <is>
          <t>GNOSJÖ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6383-2021</t>
        </is>
      </c>
      <c r="B71" s="1" t="n">
        <v>44235</v>
      </c>
      <c r="C71" s="1" t="n">
        <v>45695</v>
      </c>
      <c r="D71" t="inlineStr">
        <is>
          <t>JÖNKÖPINGS LÄN</t>
        </is>
      </c>
      <c r="E71" t="inlineStr">
        <is>
          <t>GNOSJÖ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6584-2021</t>
        </is>
      </c>
      <c r="B72" s="1" t="n">
        <v>44236</v>
      </c>
      <c r="C72" s="1" t="n">
        <v>45695</v>
      </c>
      <c r="D72" t="inlineStr">
        <is>
          <t>JÖNKÖPINGS LÄN</t>
        </is>
      </c>
      <c r="E72" t="inlineStr">
        <is>
          <t>GNOSJÖ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9708-2021</t>
        </is>
      </c>
      <c r="B73" s="1" t="n">
        <v>44252</v>
      </c>
      <c r="C73" s="1" t="n">
        <v>45695</v>
      </c>
      <c r="D73" t="inlineStr">
        <is>
          <t>JÖNKÖPINGS LÄN</t>
        </is>
      </c>
      <c r="E73" t="inlineStr">
        <is>
          <t>GNOSJÖ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15338-2021</t>
        </is>
      </c>
      <c r="B74" s="1" t="n">
        <v>44284</v>
      </c>
      <c r="C74" s="1" t="n">
        <v>45695</v>
      </c>
      <c r="D74" t="inlineStr">
        <is>
          <t>JÖNKÖPINGS LÄN</t>
        </is>
      </c>
      <c r="E74" t="inlineStr">
        <is>
          <t>GNOSJÖ</t>
        </is>
      </c>
      <c r="F74" t="inlineStr">
        <is>
          <t>Kyrkan</t>
        </is>
      </c>
      <c r="G74" t="n">
        <v>3.6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17396-2021</t>
        </is>
      </c>
      <c r="B75" s="1" t="n">
        <v>44299</v>
      </c>
      <c r="C75" s="1" t="n">
        <v>45695</v>
      </c>
      <c r="D75" t="inlineStr">
        <is>
          <t>JÖNKÖPINGS LÄN</t>
        </is>
      </c>
      <c r="E75" t="inlineStr">
        <is>
          <t>GNOSJÖ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17400-2021</t>
        </is>
      </c>
      <c r="B76" s="1" t="n">
        <v>44299</v>
      </c>
      <c r="C76" s="1" t="n">
        <v>45695</v>
      </c>
      <c r="D76" t="inlineStr">
        <is>
          <t>JÖNKÖPINGS LÄN</t>
        </is>
      </c>
      <c r="E76" t="inlineStr">
        <is>
          <t>GNOSJÖ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19654-2021</t>
        </is>
      </c>
      <c r="B77" s="1" t="n">
        <v>44312</v>
      </c>
      <c r="C77" s="1" t="n">
        <v>45695</v>
      </c>
      <c r="D77" t="inlineStr">
        <is>
          <t>JÖNKÖPINGS LÄN</t>
        </is>
      </c>
      <c r="E77" t="inlineStr">
        <is>
          <t>GNOSJÖ</t>
        </is>
      </c>
      <c r="G77" t="n">
        <v>2.9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24105-2021</t>
        </is>
      </c>
      <c r="B78" s="1" t="n">
        <v>44336</v>
      </c>
      <c r="C78" s="1" t="n">
        <v>45695</v>
      </c>
      <c r="D78" t="inlineStr">
        <is>
          <t>JÖNKÖPINGS LÄN</t>
        </is>
      </c>
      <c r="E78" t="inlineStr">
        <is>
          <t>GNOSJÖ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24356-2021</t>
        </is>
      </c>
      <c r="B79" s="1" t="n">
        <v>44337</v>
      </c>
      <c r="C79" s="1" t="n">
        <v>45695</v>
      </c>
      <c r="D79" t="inlineStr">
        <is>
          <t>JÖNKÖPINGS LÄN</t>
        </is>
      </c>
      <c r="E79" t="inlineStr">
        <is>
          <t>GNOSJÖ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24813-2021</t>
        </is>
      </c>
      <c r="B80" s="1" t="n">
        <v>44340</v>
      </c>
      <c r="C80" s="1" t="n">
        <v>45695</v>
      </c>
      <c r="D80" t="inlineStr">
        <is>
          <t>JÖNKÖPINGS LÄN</t>
        </is>
      </c>
      <c r="E80" t="inlineStr">
        <is>
          <t>GNOSJÖ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26860-2021</t>
        </is>
      </c>
      <c r="B81" s="1" t="n">
        <v>44349</v>
      </c>
      <c r="C81" s="1" t="n">
        <v>45695</v>
      </c>
      <c r="D81" t="inlineStr">
        <is>
          <t>JÖNKÖPINGS LÄN</t>
        </is>
      </c>
      <c r="E81" t="inlineStr">
        <is>
          <t>GNOSJÖ</t>
        </is>
      </c>
      <c r="F81" t="inlineStr">
        <is>
          <t>Kyrkan</t>
        </is>
      </c>
      <c r="G81" t="n">
        <v>7.4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27014-2021</t>
        </is>
      </c>
      <c r="B82" s="1" t="n">
        <v>44350</v>
      </c>
      <c r="C82" s="1" t="n">
        <v>45695</v>
      </c>
      <c r="D82" t="inlineStr">
        <is>
          <t>JÖNKÖPINGS LÄN</t>
        </is>
      </c>
      <c r="E82" t="inlineStr">
        <is>
          <t>GNOSJÖ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41125-2021</t>
        </is>
      </c>
      <c r="B83" s="1" t="n">
        <v>44423</v>
      </c>
      <c r="C83" s="1" t="n">
        <v>45695</v>
      </c>
      <c r="D83" t="inlineStr">
        <is>
          <t>JÖNKÖPINGS LÄN</t>
        </is>
      </c>
      <c r="E83" t="inlineStr">
        <is>
          <t>GNOSJÖ</t>
        </is>
      </c>
      <c r="G83" t="n">
        <v>4.4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41133-2021</t>
        </is>
      </c>
      <c r="B84" s="1" t="n">
        <v>44423</v>
      </c>
      <c r="C84" s="1" t="n">
        <v>45695</v>
      </c>
      <c r="D84" t="inlineStr">
        <is>
          <t>JÖNKÖPINGS LÄN</t>
        </is>
      </c>
      <c r="E84" t="inlineStr">
        <is>
          <t>GNOSJÖ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41129-2021</t>
        </is>
      </c>
      <c r="B85" s="1" t="n">
        <v>44423</v>
      </c>
      <c r="C85" s="1" t="n">
        <v>45695</v>
      </c>
      <c r="D85" t="inlineStr">
        <is>
          <t>JÖNKÖPINGS LÄN</t>
        </is>
      </c>
      <c r="E85" t="inlineStr">
        <is>
          <t>GNOSJÖ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42089-2021</t>
        </is>
      </c>
      <c r="B86" s="1" t="n">
        <v>44426</v>
      </c>
      <c r="C86" s="1" t="n">
        <v>45695</v>
      </c>
      <c r="D86" t="inlineStr">
        <is>
          <t>JÖNKÖPINGS LÄN</t>
        </is>
      </c>
      <c r="E86" t="inlineStr">
        <is>
          <t>GNOSJÖ</t>
        </is>
      </c>
      <c r="G86" t="n">
        <v>13.1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44816-2021</t>
        </is>
      </c>
      <c r="B87" s="1" t="n">
        <v>44438</v>
      </c>
      <c r="C87" s="1" t="n">
        <v>45695</v>
      </c>
      <c r="D87" t="inlineStr">
        <is>
          <t>JÖNKÖPINGS LÄN</t>
        </is>
      </c>
      <c r="E87" t="inlineStr">
        <is>
          <t>GNOSJÖ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45611-2021</t>
        </is>
      </c>
      <c r="B88" s="1" t="n">
        <v>44440</v>
      </c>
      <c r="C88" s="1" t="n">
        <v>45695</v>
      </c>
      <c r="D88" t="inlineStr">
        <is>
          <t>JÖNKÖPINGS LÄN</t>
        </is>
      </c>
      <c r="E88" t="inlineStr">
        <is>
          <t>GNOSJÖ</t>
        </is>
      </c>
      <c r="G88" t="n">
        <v>2.9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47022-2021</t>
        </is>
      </c>
      <c r="B89" s="1" t="n">
        <v>44446</v>
      </c>
      <c r="C89" s="1" t="n">
        <v>45695</v>
      </c>
      <c r="D89" t="inlineStr">
        <is>
          <t>JÖNKÖPINGS LÄN</t>
        </is>
      </c>
      <c r="E89" t="inlineStr">
        <is>
          <t>GNOSJÖ</t>
        </is>
      </c>
      <c r="G89" t="n">
        <v>4.1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47283-2021</t>
        </is>
      </c>
      <c r="B90" s="1" t="n">
        <v>44447</v>
      </c>
      <c r="C90" s="1" t="n">
        <v>45695</v>
      </c>
      <c r="D90" t="inlineStr">
        <is>
          <t>JÖNKÖPINGS LÄN</t>
        </is>
      </c>
      <c r="E90" t="inlineStr">
        <is>
          <t>GNOSJÖ</t>
        </is>
      </c>
      <c r="G90" t="n">
        <v>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49720-2021</t>
        </is>
      </c>
      <c r="B91" s="1" t="n">
        <v>44455</v>
      </c>
      <c r="C91" s="1" t="n">
        <v>45695</v>
      </c>
      <c r="D91" t="inlineStr">
        <is>
          <t>JÖNKÖPINGS LÄN</t>
        </is>
      </c>
      <c r="E91" t="inlineStr">
        <is>
          <t>GNOSJÖ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49725-2021</t>
        </is>
      </c>
      <c r="B92" s="1" t="n">
        <v>44455</v>
      </c>
      <c r="C92" s="1" t="n">
        <v>45695</v>
      </c>
      <c r="D92" t="inlineStr">
        <is>
          <t>JÖNKÖPINGS LÄN</t>
        </is>
      </c>
      <c r="E92" t="inlineStr">
        <is>
          <t>GNOSJÖ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50154-2021</t>
        </is>
      </c>
      <c r="B93" s="1" t="n">
        <v>44456</v>
      </c>
      <c r="C93" s="1" t="n">
        <v>45695</v>
      </c>
      <c r="D93" t="inlineStr">
        <is>
          <t>JÖNKÖPINGS LÄN</t>
        </is>
      </c>
      <c r="E93" t="inlineStr">
        <is>
          <t>GNOSJÖ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52765-2021</t>
        </is>
      </c>
      <c r="B94" s="1" t="n">
        <v>44467</v>
      </c>
      <c r="C94" s="1" t="n">
        <v>45695</v>
      </c>
      <c r="D94" t="inlineStr">
        <is>
          <t>JÖNKÖPINGS LÄN</t>
        </is>
      </c>
      <c r="E94" t="inlineStr">
        <is>
          <t>GNOSJÖ</t>
        </is>
      </c>
      <c r="G94" t="n">
        <v>2.9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52813-2021</t>
        </is>
      </c>
      <c r="B95" s="1" t="n">
        <v>44467</v>
      </c>
      <c r="C95" s="1" t="n">
        <v>45695</v>
      </c>
      <c r="D95" t="inlineStr">
        <is>
          <t>JÖNKÖPINGS LÄN</t>
        </is>
      </c>
      <c r="E95" t="inlineStr">
        <is>
          <t>GNOSJÖ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53078-2021</t>
        </is>
      </c>
      <c r="B96" s="1" t="n">
        <v>44467</v>
      </c>
      <c r="C96" s="1" t="n">
        <v>45695</v>
      </c>
      <c r="D96" t="inlineStr">
        <is>
          <t>JÖNKÖPINGS LÄN</t>
        </is>
      </c>
      <c r="E96" t="inlineStr">
        <is>
          <t>GNOSJÖ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53077-2021</t>
        </is>
      </c>
      <c r="B97" s="1" t="n">
        <v>44467</v>
      </c>
      <c r="C97" s="1" t="n">
        <v>45695</v>
      </c>
      <c r="D97" t="inlineStr">
        <is>
          <t>JÖNKÖPINGS LÄN</t>
        </is>
      </c>
      <c r="E97" t="inlineStr">
        <is>
          <t>GNOSJÖ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53196-2021</t>
        </is>
      </c>
      <c r="B98" s="1" t="n">
        <v>44468</v>
      </c>
      <c r="C98" s="1" t="n">
        <v>45695</v>
      </c>
      <c r="D98" t="inlineStr">
        <is>
          <t>JÖNKÖPINGS LÄN</t>
        </is>
      </c>
      <c r="E98" t="inlineStr">
        <is>
          <t>GNOSJÖ</t>
        </is>
      </c>
      <c r="G98" t="n">
        <v>3.7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54376-2021</t>
        </is>
      </c>
      <c r="B99" s="1" t="n">
        <v>44470</v>
      </c>
      <c r="C99" s="1" t="n">
        <v>45695</v>
      </c>
      <c r="D99" t="inlineStr">
        <is>
          <t>JÖNKÖPINGS LÄN</t>
        </is>
      </c>
      <c r="E99" t="inlineStr">
        <is>
          <t>GNOSJÖ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54362-2021</t>
        </is>
      </c>
      <c r="B100" s="1" t="n">
        <v>44470</v>
      </c>
      <c r="C100" s="1" t="n">
        <v>45695</v>
      </c>
      <c r="D100" t="inlineStr">
        <is>
          <t>JÖNKÖPINGS LÄN</t>
        </is>
      </c>
      <c r="E100" t="inlineStr">
        <is>
          <t>GNOSJÖ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55069-2021</t>
        </is>
      </c>
      <c r="B101" s="1" t="n">
        <v>44474</v>
      </c>
      <c r="C101" s="1" t="n">
        <v>45695</v>
      </c>
      <c r="D101" t="inlineStr">
        <is>
          <t>JÖNKÖPINGS LÄN</t>
        </is>
      </c>
      <c r="E101" t="inlineStr">
        <is>
          <t>GNOSJÖ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57054-2021</t>
        </is>
      </c>
      <c r="B102" s="1" t="n">
        <v>44482</v>
      </c>
      <c r="C102" s="1" t="n">
        <v>45695</v>
      </c>
      <c r="D102" t="inlineStr">
        <is>
          <t>JÖNKÖPINGS LÄN</t>
        </is>
      </c>
      <c r="E102" t="inlineStr">
        <is>
          <t>GNOSJÖ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58247-2021</t>
        </is>
      </c>
      <c r="B103" s="1" t="n">
        <v>44487</v>
      </c>
      <c r="C103" s="1" t="n">
        <v>45695</v>
      </c>
      <c r="D103" t="inlineStr">
        <is>
          <t>JÖNKÖPINGS LÄN</t>
        </is>
      </c>
      <c r="E103" t="inlineStr">
        <is>
          <t>GNOSJÖ</t>
        </is>
      </c>
      <c r="G103" t="n">
        <v>8.9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58249-2021</t>
        </is>
      </c>
      <c r="B104" s="1" t="n">
        <v>44487</v>
      </c>
      <c r="C104" s="1" t="n">
        <v>45695</v>
      </c>
      <c r="D104" t="inlineStr">
        <is>
          <t>JÖNKÖPINGS LÄN</t>
        </is>
      </c>
      <c r="E104" t="inlineStr">
        <is>
          <t>GNOSJÖ</t>
        </is>
      </c>
      <c r="G104" t="n">
        <v>3.3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59855-2021</t>
        </is>
      </c>
      <c r="B105" s="1" t="n">
        <v>44494</v>
      </c>
      <c r="C105" s="1" t="n">
        <v>45695</v>
      </c>
      <c r="D105" t="inlineStr">
        <is>
          <t>JÖNKÖPINGS LÄN</t>
        </is>
      </c>
      <c r="E105" t="inlineStr">
        <is>
          <t>GNOSJÖ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62615-2021</t>
        </is>
      </c>
      <c r="B106" s="1" t="n">
        <v>44503</v>
      </c>
      <c r="C106" s="1" t="n">
        <v>45695</v>
      </c>
      <c r="D106" t="inlineStr">
        <is>
          <t>JÖNKÖPINGS LÄN</t>
        </is>
      </c>
      <c r="E106" t="inlineStr">
        <is>
          <t>GNOSJÖ</t>
        </is>
      </c>
      <c r="G106" t="n">
        <v>5.5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68819-2021</t>
        </is>
      </c>
      <c r="B107" s="1" t="n">
        <v>44530</v>
      </c>
      <c r="C107" s="1" t="n">
        <v>45695</v>
      </c>
      <c r="D107" t="inlineStr">
        <is>
          <t>JÖNKÖPINGS LÄN</t>
        </is>
      </c>
      <c r="E107" t="inlineStr">
        <is>
          <t>GNOSJÖ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70890-2021</t>
        </is>
      </c>
      <c r="B108" s="1" t="n">
        <v>44538</v>
      </c>
      <c r="C108" s="1" t="n">
        <v>45695</v>
      </c>
      <c r="D108" t="inlineStr">
        <is>
          <t>JÖNKÖPINGS LÄN</t>
        </is>
      </c>
      <c r="E108" t="inlineStr">
        <is>
          <t>GNOSJÖ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73961-2021</t>
        </is>
      </c>
      <c r="B109" s="1" t="n">
        <v>44553</v>
      </c>
      <c r="C109" s="1" t="n">
        <v>45695</v>
      </c>
      <c r="D109" t="inlineStr">
        <is>
          <t>JÖNKÖPINGS LÄN</t>
        </is>
      </c>
      <c r="E109" t="inlineStr">
        <is>
          <t>GNOSJÖ</t>
        </is>
      </c>
      <c r="F109" t="inlineStr">
        <is>
          <t>Sveaskog</t>
        </is>
      </c>
      <c r="G109" t="n">
        <v>5.1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704-2022</t>
        </is>
      </c>
      <c r="B110" s="1" t="n">
        <v>44568</v>
      </c>
      <c r="C110" s="1" t="n">
        <v>45695</v>
      </c>
      <c r="D110" t="inlineStr">
        <is>
          <t>JÖNKÖPINGS LÄN</t>
        </is>
      </c>
      <c r="E110" t="inlineStr">
        <is>
          <t>GNOSJÖ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3421-2022</t>
        </is>
      </c>
      <c r="B111" s="1" t="n">
        <v>44585</v>
      </c>
      <c r="C111" s="1" t="n">
        <v>45695</v>
      </c>
      <c r="D111" t="inlineStr">
        <is>
          <t>JÖNKÖPINGS LÄN</t>
        </is>
      </c>
      <c r="E111" t="inlineStr">
        <is>
          <t>GNOSJÖ</t>
        </is>
      </c>
      <c r="F111" t="inlineStr">
        <is>
          <t>Sveaskog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3418-2022</t>
        </is>
      </c>
      <c r="B112" s="1" t="n">
        <v>44585</v>
      </c>
      <c r="C112" s="1" t="n">
        <v>45695</v>
      </c>
      <c r="D112" t="inlineStr">
        <is>
          <t>JÖNKÖPINGS LÄN</t>
        </is>
      </c>
      <c r="E112" t="inlineStr">
        <is>
          <t>GNOSJÖ</t>
        </is>
      </c>
      <c r="F112" t="inlineStr">
        <is>
          <t>Sveaskog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4114-2022</t>
        </is>
      </c>
      <c r="B113" s="1" t="n">
        <v>44588</v>
      </c>
      <c r="C113" s="1" t="n">
        <v>45695</v>
      </c>
      <c r="D113" t="inlineStr">
        <is>
          <t>JÖNKÖPINGS LÄN</t>
        </is>
      </c>
      <c r="E113" t="inlineStr">
        <is>
          <t>GNOSJÖ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4250-2022</t>
        </is>
      </c>
      <c r="B114" s="1" t="n">
        <v>44588</v>
      </c>
      <c r="C114" s="1" t="n">
        <v>45695</v>
      </c>
      <c r="D114" t="inlineStr">
        <is>
          <t>JÖNKÖPINGS LÄN</t>
        </is>
      </c>
      <c r="E114" t="inlineStr">
        <is>
          <t>GNOSJÖ</t>
        </is>
      </c>
      <c r="G114" t="n">
        <v>3.3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4298-2022</t>
        </is>
      </c>
      <c r="B115" s="1" t="n">
        <v>44588</v>
      </c>
      <c r="C115" s="1" t="n">
        <v>45695</v>
      </c>
      <c r="D115" t="inlineStr">
        <is>
          <t>JÖNKÖPINGS LÄN</t>
        </is>
      </c>
      <c r="E115" t="inlineStr">
        <is>
          <t>GNOSJÖ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4293-2022</t>
        </is>
      </c>
      <c r="B116" s="1" t="n">
        <v>44588</v>
      </c>
      <c r="C116" s="1" t="n">
        <v>45695</v>
      </c>
      <c r="D116" t="inlineStr">
        <is>
          <t>JÖNKÖPINGS LÄN</t>
        </is>
      </c>
      <c r="E116" t="inlineStr">
        <is>
          <t>GNOSJÖ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5030-2022</t>
        </is>
      </c>
      <c r="B117" s="1" t="n">
        <v>44593</v>
      </c>
      <c r="C117" s="1" t="n">
        <v>45695</v>
      </c>
      <c r="D117" t="inlineStr">
        <is>
          <t>JÖNKÖPINGS LÄN</t>
        </is>
      </c>
      <c r="E117" t="inlineStr">
        <is>
          <t>GNOSJÖ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5707-2022</t>
        </is>
      </c>
      <c r="B118" s="1" t="n">
        <v>44596</v>
      </c>
      <c r="C118" s="1" t="n">
        <v>45695</v>
      </c>
      <c r="D118" t="inlineStr">
        <is>
          <t>JÖNKÖPINGS LÄN</t>
        </is>
      </c>
      <c r="E118" t="inlineStr">
        <is>
          <t>GNOSJÖ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6036-2022</t>
        </is>
      </c>
      <c r="B119" s="1" t="n">
        <v>44599</v>
      </c>
      <c r="C119" s="1" t="n">
        <v>45695</v>
      </c>
      <c r="D119" t="inlineStr">
        <is>
          <t>JÖNKÖPINGS LÄN</t>
        </is>
      </c>
      <c r="E119" t="inlineStr">
        <is>
          <t>GNOSJÖ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7501-2022</t>
        </is>
      </c>
      <c r="B120" s="1" t="n">
        <v>44607</v>
      </c>
      <c r="C120" s="1" t="n">
        <v>45695</v>
      </c>
      <c r="D120" t="inlineStr">
        <is>
          <t>JÖNKÖPINGS LÄN</t>
        </is>
      </c>
      <c r="E120" t="inlineStr">
        <is>
          <t>GNOSJÖ</t>
        </is>
      </c>
      <c r="F120" t="inlineStr">
        <is>
          <t>Sveaskog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14965-2022</t>
        </is>
      </c>
      <c r="B121" s="1" t="n">
        <v>44657</v>
      </c>
      <c r="C121" s="1" t="n">
        <v>45695</v>
      </c>
      <c r="D121" t="inlineStr">
        <is>
          <t>JÖNKÖPINGS LÄN</t>
        </is>
      </c>
      <c r="E121" t="inlineStr">
        <is>
          <t>GNOSJÖ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16610-2022</t>
        </is>
      </c>
      <c r="B122" s="1" t="n">
        <v>44672</v>
      </c>
      <c r="C122" s="1" t="n">
        <v>45695</v>
      </c>
      <c r="D122" t="inlineStr">
        <is>
          <t>JÖNKÖPINGS LÄN</t>
        </is>
      </c>
      <c r="E122" t="inlineStr">
        <is>
          <t>GNOSJÖ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17273-2022</t>
        </is>
      </c>
      <c r="B123" s="1" t="n">
        <v>44678</v>
      </c>
      <c r="C123" s="1" t="n">
        <v>45695</v>
      </c>
      <c r="D123" t="inlineStr">
        <is>
          <t>JÖNKÖPINGS LÄN</t>
        </is>
      </c>
      <c r="E123" t="inlineStr">
        <is>
          <t>GNOSJÖ</t>
        </is>
      </c>
      <c r="F123" t="inlineStr">
        <is>
          <t>Sveaskog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17274-2022</t>
        </is>
      </c>
      <c r="B124" s="1" t="n">
        <v>44678</v>
      </c>
      <c r="C124" s="1" t="n">
        <v>45695</v>
      </c>
      <c r="D124" t="inlineStr">
        <is>
          <t>JÖNKÖPINGS LÄN</t>
        </is>
      </c>
      <c r="E124" t="inlineStr">
        <is>
          <t>GNOSJÖ</t>
        </is>
      </c>
      <c r="F124" t="inlineStr">
        <is>
          <t>Sveaskog</t>
        </is>
      </c>
      <c r="G124" t="n">
        <v>4.2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20077-2022</t>
        </is>
      </c>
      <c r="B125" s="1" t="n">
        <v>44698</v>
      </c>
      <c r="C125" s="1" t="n">
        <v>45695</v>
      </c>
      <c r="D125" t="inlineStr">
        <is>
          <t>JÖNKÖPINGS LÄN</t>
        </is>
      </c>
      <c r="E125" t="inlineStr">
        <is>
          <t>GNOSJÖ</t>
        </is>
      </c>
      <c r="G125" t="n">
        <v>4.5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20080-2022</t>
        </is>
      </c>
      <c r="B126" s="1" t="n">
        <v>44698</v>
      </c>
      <c r="C126" s="1" t="n">
        <v>45695</v>
      </c>
      <c r="D126" t="inlineStr">
        <is>
          <t>JÖNKÖPINGS LÄN</t>
        </is>
      </c>
      <c r="E126" t="inlineStr">
        <is>
          <t>GNOSJÖ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20078-2022</t>
        </is>
      </c>
      <c r="B127" s="1" t="n">
        <v>44698</v>
      </c>
      <c r="C127" s="1" t="n">
        <v>45695</v>
      </c>
      <c r="D127" t="inlineStr">
        <is>
          <t>JÖNKÖPINGS LÄN</t>
        </is>
      </c>
      <c r="E127" t="inlineStr">
        <is>
          <t>GNOSJÖ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23625-2022</t>
        </is>
      </c>
      <c r="B128" s="1" t="n">
        <v>44721</v>
      </c>
      <c r="C128" s="1" t="n">
        <v>45695</v>
      </c>
      <c r="D128" t="inlineStr">
        <is>
          <t>JÖNKÖPINGS LÄN</t>
        </is>
      </c>
      <c r="E128" t="inlineStr">
        <is>
          <t>GNOSJÖ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23612-2022</t>
        </is>
      </c>
      <c r="B129" s="1" t="n">
        <v>44721</v>
      </c>
      <c r="C129" s="1" t="n">
        <v>45695</v>
      </c>
      <c r="D129" t="inlineStr">
        <is>
          <t>JÖNKÖPINGS LÄN</t>
        </is>
      </c>
      <c r="E129" t="inlineStr">
        <is>
          <t>GNOSJÖ</t>
        </is>
      </c>
      <c r="G129" t="n">
        <v>4.4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24109-2022</t>
        </is>
      </c>
      <c r="B130" s="1" t="n">
        <v>44725</v>
      </c>
      <c r="C130" s="1" t="n">
        <v>45695</v>
      </c>
      <c r="D130" t="inlineStr">
        <is>
          <t>JÖNKÖPINGS LÄN</t>
        </is>
      </c>
      <c r="E130" t="inlineStr">
        <is>
          <t>GNOSJÖ</t>
        </is>
      </c>
      <c r="G130" t="n">
        <v>5.3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25487-2022</t>
        </is>
      </c>
      <c r="B131" s="1" t="n">
        <v>44732</v>
      </c>
      <c r="C131" s="1" t="n">
        <v>45695</v>
      </c>
      <c r="D131" t="inlineStr">
        <is>
          <t>JÖNKÖPINGS LÄN</t>
        </is>
      </c>
      <c r="E131" t="inlineStr">
        <is>
          <t>GNOSJÖ</t>
        </is>
      </c>
      <c r="G131" t="n">
        <v>7.1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28372-2022</t>
        </is>
      </c>
      <c r="B132" s="1" t="n">
        <v>44747</v>
      </c>
      <c r="C132" s="1" t="n">
        <v>45695</v>
      </c>
      <c r="D132" t="inlineStr">
        <is>
          <t>JÖNKÖPINGS LÄN</t>
        </is>
      </c>
      <c r="E132" t="inlineStr">
        <is>
          <t>GNOSJÖ</t>
        </is>
      </c>
      <c r="G132" t="n">
        <v>4.3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29066-2022</t>
        </is>
      </c>
      <c r="B133" s="1" t="n">
        <v>44750</v>
      </c>
      <c r="C133" s="1" t="n">
        <v>45695</v>
      </c>
      <c r="D133" t="inlineStr">
        <is>
          <t>JÖNKÖPINGS LÄN</t>
        </is>
      </c>
      <c r="E133" t="inlineStr">
        <is>
          <t>GNOSJÖ</t>
        </is>
      </c>
      <c r="G133" t="n">
        <v>4.8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30078-2022</t>
        </is>
      </c>
      <c r="B134" s="1" t="n">
        <v>44757</v>
      </c>
      <c r="C134" s="1" t="n">
        <v>45695</v>
      </c>
      <c r="D134" t="inlineStr">
        <is>
          <t>JÖNKÖPINGS LÄN</t>
        </is>
      </c>
      <c r="E134" t="inlineStr">
        <is>
          <t>GNOSJÖ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33575-2022</t>
        </is>
      </c>
      <c r="B135" s="1" t="n">
        <v>44789</v>
      </c>
      <c r="C135" s="1" t="n">
        <v>45695</v>
      </c>
      <c r="D135" t="inlineStr">
        <is>
          <t>JÖNKÖPINGS LÄN</t>
        </is>
      </c>
      <c r="E135" t="inlineStr">
        <is>
          <t>GNOSJÖ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36406-2022</t>
        </is>
      </c>
      <c r="B136" s="1" t="n">
        <v>44803</v>
      </c>
      <c r="C136" s="1" t="n">
        <v>45695</v>
      </c>
      <c r="D136" t="inlineStr">
        <is>
          <t>JÖNKÖPINGS LÄN</t>
        </is>
      </c>
      <c r="E136" t="inlineStr">
        <is>
          <t>GNOSJÖ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36525-2022</t>
        </is>
      </c>
      <c r="B137" s="1" t="n">
        <v>44804</v>
      </c>
      <c r="C137" s="1" t="n">
        <v>45695</v>
      </c>
      <c r="D137" t="inlineStr">
        <is>
          <t>JÖNKÖPINGS LÄN</t>
        </is>
      </c>
      <c r="E137" t="inlineStr">
        <is>
          <t>GNOSJÖ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36508-2022</t>
        </is>
      </c>
      <c r="B138" s="1" t="n">
        <v>44804</v>
      </c>
      <c r="C138" s="1" t="n">
        <v>45695</v>
      </c>
      <c r="D138" t="inlineStr">
        <is>
          <t>JÖNKÖPINGS LÄN</t>
        </is>
      </c>
      <c r="E138" t="inlineStr">
        <is>
          <t>GNOSJÖ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36653-2022</t>
        </is>
      </c>
      <c r="B139" s="1" t="n">
        <v>44804</v>
      </c>
      <c r="C139" s="1" t="n">
        <v>45695</v>
      </c>
      <c r="D139" t="inlineStr">
        <is>
          <t>JÖNKÖPINGS LÄN</t>
        </is>
      </c>
      <c r="E139" t="inlineStr">
        <is>
          <t>GNOSJÖ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40658-2022</t>
        </is>
      </c>
      <c r="B140" s="1" t="n">
        <v>44824</v>
      </c>
      <c r="C140" s="1" t="n">
        <v>45695</v>
      </c>
      <c r="D140" t="inlineStr">
        <is>
          <t>JÖNKÖPINGS LÄN</t>
        </is>
      </c>
      <c r="E140" t="inlineStr">
        <is>
          <t>GNOSJÖ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41918-2022</t>
        </is>
      </c>
      <c r="B141" s="1" t="n">
        <v>44830</v>
      </c>
      <c r="C141" s="1" t="n">
        <v>45695</v>
      </c>
      <c r="D141" t="inlineStr">
        <is>
          <t>JÖNKÖPINGS LÄN</t>
        </is>
      </c>
      <c r="E141" t="inlineStr">
        <is>
          <t>GNOSJÖ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43870-2022</t>
        </is>
      </c>
      <c r="B142" s="1" t="n">
        <v>44837</v>
      </c>
      <c r="C142" s="1" t="n">
        <v>45695</v>
      </c>
      <c r="D142" t="inlineStr">
        <is>
          <t>JÖNKÖPINGS LÄN</t>
        </is>
      </c>
      <c r="E142" t="inlineStr">
        <is>
          <t>GNOSJÖ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46657-2022</t>
        </is>
      </c>
      <c r="B143" s="1" t="n">
        <v>44850</v>
      </c>
      <c r="C143" s="1" t="n">
        <v>45695</v>
      </c>
      <c r="D143" t="inlineStr">
        <is>
          <t>JÖNKÖPINGS LÄN</t>
        </is>
      </c>
      <c r="E143" t="inlineStr">
        <is>
          <t>GNOSJÖ</t>
        </is>
      </c>
      <c r="G143" t="n">
        <v>7.9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48188-2022</t>
        </is>
      </c>
      <c r="B144" s="1" t="n">
        <v>44853</v>
      </c>
      <c r="C144" s="1" t="n">
        <v>45695</v>
      </c>
      <c r="D144" t="inlineStr">
        <is>
          <t>JÖNKÖPINGS LÄN</t>
        </is>
      </c>
      <c r="E144" t="inlineStr">
        <is>
          <t>GNOSJÖ</t>
        </is>
      </c>
      <c r="G144" t="n">
        <v>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47858-2022</t>
        </is>
      </c>
      <c r="B145" s="1" t="n">
        <v>44855</v>
      </c>
      <c r="C145" s="1" t="n">
        <v>45695</v>
      </c>
      <c r="D145" t="inlineStr">
        <is>
          <t>JÖNKÖPINGS LÄN</t>
        </is>
      </c>
      <c r="E145" t="inlineStr">
        <is>
          <t>GNOSJÖ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47856-2022</t>
        </is>
      </c>
      <c r="B146" s="1" t="n">
        <v>44855</v>
      </c>
      <c r="C146" s="1" t="n">
        <v>45695</v>
      </c>
      <c r="D146" t="inlineStr">
        <is>
          <t>JÖNKÖPINGS LÄN</t>
        </is>
      </c>
      <c r="E146" t="inlineStr">
        <is>
          <t>GNOSJÖ</t>
        </is>
      </c>
      <c r="G146" t="n">
        <v>0.1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48229-2022</t>
        </is>
      </c>
      <c r="B147" s="1" t="n">
        <v>44858</v>
      </c>
      <c r="C147" s="1" t="n">
        <v>45695</v>
      </c>
      <c r="D147" t="inlineStr">
        <is>
          <t>JÖNKÖPINGS LÄN</t>
        </is>
      </c>
      <c r="E147" t="inlineStr">
        <is>
          <t>GNOSJÖ</t>
        </is>
      </c>
      <c r="G147" t="n">
        <v>3.6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48228-2022</t>
        </is>
      </c>
      <c r="B148" s="1" t="n">
        <v>44858</v>
      </c>
      <c r="C148" s="1" t="n">
        <v>45695</v>
      </c>
      <c r="D148" t="inlineStr">
        <is>
          <t>JÖNKÖPINGS LÄN</t>
        </is>
      </c>
      <c r="E148" t="inlineStr">
        <is>
          <t>GNOSJÖ</t>
        </is>
      </c>
      <c r="G148" t="n">
        <v>3.6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48227-2022</t>
        </is>
      </c>
      <c r="B149" s="1" t="n">
        <v>44858</v>
      </c>
      <c r="C149" s="1" t="n">
        <v>45695</v>
      </c>
      <c r="D149" t="inlineStr">
        <is>
          <t>JÖNKÖPINGS LÄN</t>
        </is>
      </c>
      <c r="E149" t="inlineStr">
        <is>
          <t>GNOSJÖ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48480-2022</t>
        </is>
      </c>
      <c r="B150" s="1" t="n">
        <v>44858</v>
      </c>
      <c r="C150" s="1" t="n">
        <v>45695</v>
      </c>
      <c r="D150" t="inlineStr">
        <is>
          <t>JÖNKÖPINGS LÄN</t>
        </is>
      </c>
      <c r="E150" t="inlineStr">
        <is>
          <t>GNOSJÖ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48725-2022</t>
        </is>
      </c>
      <c r="B151" s="1" t="n">
        <v>44859</v>
      </c>
      <c r="C151" s="1" t="n">
        <v>45695</v>
      </c>
      <c r="D151" t="inlineStr">
        <is>
          <t>JÖNKÖPINGS LÄN</t>
        </is>
      </c>
      <c r="E151" t="inlineStr">
        <is>
          <t>GNOSJÖ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50444-2022</t>
        </is>
      </c>
      <c r="B152" s="1" t="n">
        <v>44866</v>
      </c>
      <c r="C152" s="1" t="n">
        <v>45695</v>
      </c>
      <c r="D152" t="inlineStr">
        <is>
          <t>JÖNKÖPINGS LÄN</t>
        </is>
      </c>
      <c r="E152" t="inlineStr">
        <is>
          <t>GNOSJÖ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50440-2022</t>
        </is>
      </c>
      <c r="B153" s="1" t="n">
        <v>44866</v>
      </c>
      <c r="C153" s="1" t="n">
        <v>45695</v>
      </c>
      <c r="D153" t="inlineStr">
        <is>
          <t>JÖNKÖPINGS LÄN</t>
        </is>
      </c>
      <c r="E153" t="inlineStr">
        <is>
          <t>GNOSJÖ</t>
        </is>
      </c>
      <c r="G153" t="n">
        <v>8.699999999999999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51901-2022</t>
        </is>
      </c>
      <c r="B154" s="1" t="n">
        <v>44872</v>
      </c>
      <c r="C154" s="1" t="n">
        <v>45695</v>
      </c>
      <c r="D154" t="inlineStr">
        <is>
          <t>JÖNKÖPINGS LÄN</t>
        </is>
      </c>
      <c r="E154" t="inlineStr">
        <is>
          <t>GNOSJÖ</t>
        </is>
      </c>
      <c r="G154" t="n">
        <v>7.3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55909-2022</t>
        </is>
      </c>
      <c r="B155" s="1" t="n">
        <v>44889</v>
      </c>
      <c r="C155" s="1" t="n">
        <v>45695</v>
      </c>
      <c r="D155" t="inlineStr">
        <is>
          <t>JÖNKÖPINGS LÄN</t>
        </is>
      </c>
      <c r="E155" t="inlineStr">
        <is>
          <t>GNOSJÖ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56625-2022</t>
        </is>
      </c>
      <c r="B156" s="1" t="n">
        <v>44893</v>
      </c>
      <c r="C156" s="1" t="n">
        <v>45695</v>
      </c>
      <c r="D156" t="inlineStr">
        <is>
          <t>JÖNKÖPINGS LÄN</t>
        </is>
      </c>
      <c r="E156" t="inlineStr">
        <is>
          <t>GNOSJÖ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58356-2022</t>
        </is>
      </c>
      <c r="B157" s="1" t="n">
        <v>44893</v>
      </c>
      <c r="C157" s="1" t="n">
        <v>45695</v>
      </c>
      <c r="D157" t="inlineStr">
        <is>
          <t>JÖNKÖPINGS LÄN</t>
        </is>
      </c>
      <c r="E157" t="inlineStr">
        <is>
          <t>GNOSJÖ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58770-2022</t>
        </is>
      </c>
      <c r="B158" s="1" t="n">
        <v>44903</v>
      </c>
      <c r="C158" s="1" t="n">
        <v>45695</v>
      </c>
      <c r="D158" t="inlineStr">
        <is>
          <t>JÖNKÖPINGS LÄN</t>
        </is>
      </c>
      <c r="E158" t="inlineStr">
        <is>
          <t>GNOSJÖ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62045-2022</t>
        </is>
      </c>
      <c r="B159" s="1" t="n">
        <v>44918</v>
      </c>
      <c r="C159" s="1" t="n">
        <v>45695</v>
      </c>
      <c r="D159" t="inlineStr">
        <is>
          <t>JÖNKÖPINGS LÄN</t>
        </is>
      </c>
      <c r="E159" t="inlineStr">
        <is>
          <t>GNOSJÖ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62053-2022</t>
        </is>
      </c>
      <c r="B160" s="1" t="n">
        <v>44918</v>
      </c>
      <c r="C160" s="1" t="n">
        <v>45695</v>
      </c>
      <c r="D160" t="inlineStr">
        <is>
          <t>JÖNKÖPINGS LÄN</t>
        </is>
      </c>
      <c r="E160" t="inlineStr">
        <is>
          <t>GNOSJÖ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270-2023</t>
        </is>
      </c>
      <c r="B161" s="1" t="n">
        <v>44928</v>
      </c>
      <c r="C161" s="1" t="n">
        <v>45695</v>
      </c>
      <c r="D161" t="inlineStr">
        <is>
          <t>JÖNKÖPINGS LÄN</t>
        </is>
      </c>
      <c r="E161" t="inlineStr">
        <is>
          <t>GNOSJÖ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1434-2023</t>
        </is>
      </c>
      <c r="B162" s="1" t="n">
        <v>44937</v>
      </c>
      <c r="C162" s="1" t="n">
        <v>45695</v>
      </c>
      <c r="D162" t="inlineStr">
        <is>
          <t>JÖNKÖPINGS LÄN</t>
        </is>
      </c>
      <c r="E162" t="inlineStr">
        <is>
          <t>GNOSJÖ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3504-2023</t>
        </is>
      </c>
      <c r="B163" s="1" t="n">
        <v>44950</v>
      </c>
      <c r="C163" s="1" t="n">
        <v>45695</v>
      </c>
      <c r="D163" t="inlineStr">
        <is>
          <t>JÖNKÖPINGS LÄN</t>
        </is>
      </c>
      <c r="E163" t="inlineStr">
        <is>
          <t>GNOSJÖ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4992-2023</t>
        </is>
      </c>
      <c r="B164" s="1" t="n">
        <v>44958</v>
      </c>
      <c r="C164" s="1" t="n">
        <v>45695</v>
      </c>
      <c r="D164" t="inlineStr">
        <is>
          <t>JÖNKÖPINGS LÄN</t>
        </is>
      </c>
      <c r="E164" t="inlineStr">
        <is>
          <t>GNOSJÖ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5818-2023</t>
        </is>
      </c>
      <c r="B165" s="1" t="n">
        <v>44963</v>
      </c>
      <c r="C165" s="1" t="n">
        <v>45695</v>
      </c>
      <c r="D165" t="inlineStr">
        <is>
          <t>JÖNKÖPINGS LÄN</t>
        </is>
      </c>
      <c r="E165" t="inlineStr">
        <is>
          <t>GNOSJÖ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10493-2023</t>
        </is>
      </c>
      <c r="B166" s="1" t="n">
        <v>44987</v>
      </c>
      <c r="C166" s="1" t="n">
        <v>45695</v>
      </c>
      <c r="D166" t="inlineStr">
        <is>
          <t>JÖNKÖPINGS LÄN</t>
        </is>
      </c>
      <c r="E166" t="inlineStr">
        <is>
          <t>GNOSJÖ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12858-2023</t>
        </is>
      </c>
      <c r="B167" s="1" t="n">
        <v>45001</v>
      </c>
      <c r="C167" s="1" t="n">
        <v>45695</v>
      </c>
      <c r="D167" t="inlineStr">
        <is>
          <t>JÖNKÖPINGS LÄN</t>
        </is>
      </c>
      <c r="E167" t="inlineStr">
        <is>
          <t>GNOSJÖ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14202-2023</t>
        </is>
      </c>
      <c r="B168" s="1" t="n">
        <v>45009</v>
      </c>
      <c r="C168" s="1" t="n">
        <v>45695</v>
      </c>
      <c r="D168" t="inlineStr">
        <is>
          <t>JÖNKÖPINGS LÄN</t>
        </is>
      </c>
      <c r="E168" t="inlineStr">
        <is>
          <t>GNOSJÖ</t>
        </is>
      </c>
      <c r="G168" t="n">
        <v>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14355-2023</t>
        </is>
      </c>
      <c r="B169" s="1" t="n">
        <v>45012</v>
      </c>
      <c r="C169" s="1" t="n">
        <v>45695</v>
      </c>
      <c r="D169" t="inlineStr">
        <is>
          <t>JÖNKÖPINGS LÄN</t>
        </is>
      </c>
      <c r="E169" t="inlineStr">
        <is>
          <t>GNOSJÖ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15557-2023</t>
        </is>
      </c>
      <c r="B170" s="1" t="n">
        <v>45020</v>
      </c>
      <c r="C170" s="1" t="n">
        <v>45695</v>
      </c>
      <c r="D170" t="inlineStr">
        <is>
          <t>JÖNKÖPINGS LÄN</t>
        </is>
      </c>
      <c r="E170" t="inlineStr">
        <is>
          <t>GNOSJÖ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15434-2023</t>
        </is>
      </c>
      <c r="B171" s="1" t="n">
        <v>45020</v>
      </c>
      <c r="C171" s="1" t="n">
        <v>45695</v>
      </c>
      <c r="D171" t="inlineStr">
        <is>
          <t>JÖNKÖPINGS LÄN</t>
        </is>
      </c>
      <c r="E171" t="inlineStr">
        <is>
          <t>GNOSJÖ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15555-2023</t>
        </is>
      </c>
      <c r="B172" s="1" t="n">
        <v>45020</v>
      </c>
      <c r="C172" s="1" t="n">
        <v>45695</v>
      </c>
      <c r="D172" t="inlineStr">
        <is>
          <t>JÖNKÖPINGS LÄN</t>
        </is>
      </c>
      <c r="E172" t="inlineStr">
        <is>
          <t>GNOSJÖ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15776-2023</t>
        </is>
      </c>
      <c r="B173" s="1" t="n">
        <v>45021</v>
      </c>
      <c r="C173" s="1" t="n">
        <v>45695</v>
      </c>
      <c r="D173" t="inlineStr">
        <is>
          <t>JÖNKÖPINGS LÄN</t>
        </is>
      </c>
      <c r="E173" t="inlineStr">
        <is>
          <t>GNOSJÖ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16303-2023</t>
        </is>
      </c>
      <c r="B174" s="1" t="n">
        <v>45028</v>
      </c>
      <c r="C174" s="1" t="n">
        <v>45695</v>
      </c>
      <c r="D174" t="inlineStr">
        <is>
          <t>JÖNKÖPINGS LÄN</t>
        </is>
      </c>
      <c r="E174" t="inlineStr">
        <is>
          <t>GNOSJÖ</t>
        </is>
      </c>
      <c r="G174" t="n">
        <v>6.3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16962-2023</t>
        </is>
      </c>
      <c r="B175" s="1" t="n">
        <v>45029</v>
      </c>
      <c r="C175" s="1" t="n">
        <v>45695</v>
      </c>
      <c r="D175" t="inlineStr">
        <is>
          <t>JÖNKÖPINGS LÄN</t>
        </is>
      </c>
      <c r="E175" t="inlineStr">
        <is>
          <t>GNOSJÖ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18353-2023</t>
        </is>
      </c>
      <c r="B176" s="1" t="n">
        <v>45041</v>
      </c>
      <c r="C176" s="1" t="n">
        <v>45695</v>
      </c>
      <c r="D176" t="inlineStr">
        <is>
          <t>JÖNKÖPINGS LÄN</t>
        </is>
      </c>
      <c r="E176" t="inlineStr">
        <is>
          <t>GNOSJÖ</t>
        </is>
      </c>
      <c r="G176" t="n">
        <v>5.7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18713-2023</t>
        </is>
      </c>
      <c r="B177" s="1" t="n">
        <v>45043</v>
      </c>
      <c r="C177" s="1" t="n">
        <v>45695</v>
      </c>
      <c r="D177" t="inlineStr">
        <is>
          <t>JÖNKÖPINGS LÄN</t>
        </is>
      </c>
      <c r="E177" t="inlineStr">
        <is>
          <t>GNOSJÖ</t>
        </is>
      </c>
      <c r="G177" t="n">
        <v>3.7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18707-2023</t>
        </is>
      </c>
      <c r="B178" s="1" t="n">
        <v>45043</v>
      </c>
      <c r="C178" s="1" t="n">
        <v>45695</v>
      </c>
      <c r="D178" t="inlineStr">
        <is>
          <t>JÖNKÖPINGS LÄN</t>
        </is>
      </c>
      <c r="E178" t="inlineStr">
        <is>
          <t>GNOSJÖ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19307-2023</t>
        </is>
      </c>
      <c r="B179" s="1" t="n">
        <v>45049</v>
      </c>
      <c r="C179" s="1" t="n">
        <v>45695</v>
      </c>
      <c r="D179" t="inlineStr">
        <is>
          <t>JÖNKÖPINGS LÄN</t>
        </is>
      </c>
      <c r="E179" t="inlineStr">
        <is>
          <t>GNOSJÖ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19306-2023</t>
        </is>
      </c>
      <c r="B180" s="1" t="n">
        <v>45049</v>
      </c>
      <c r="C180" s="1" t="n">
        <v>45695</v>
      </c>
      <c r="D180" t="inlineStr">
        <is>
          <t>JÖNKÖPINGS LÄN</t>
        </is>
      </c>
      <c r="E180" t="inlineStr">
        <is>
          <t>GNOSJÖ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19878-2023</t>
        </is>
      </c>
      <c r="B181" s="1" t="n">
        <v>45054</v>
      </c>
      <c r="C181" s="1" t="n">
        <v>45695</v>
      </c>
      <c r="D181" t="inlineStr">
        <is>
          <t>JÖNKÖPINGS LÄN</t>
        </is>
      </c>
      <c r="E181" t="inlineStr">
        <is>
          <t>GNOSJÖ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19881-2023</t>
        </is>
      </c>
      <c r="B182" s="1" t="n">
        <v>45054</v>
      </c>
      <c r="C182" s="1" t="n">
        <v>45695</v>
      </c>
      <c r="D182" t="inlineStr">
        <is>
          <t>JÖNKÖPINGS LÄN</t>
        </is>
      </c>
      <c r="E182" t="inlineStr">
        <is>
          <t>GNOSJÖ</t>
        </is>
      </c>
      <c r="G182" t="n">
        <v>7.2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21256-2023</t>
        </is>
      </c>
      <c r="B183" s="1" t="n">
        <v>45062</v>
      </c>
      <c r="C183" s="1" t="n">
        <v>45695</v>
      </c>
      <c r="D183" t="inlineStr">
        <is>
          <t>JÖNKÖPINGS LÄN</t>
        </is>
      </c>
      <c r="E183" t="inlineStr">
        <is>
          <t>GNOSJÖ</t>
        </is>
      </c>
      <c r="G183" t="n">
        <v>6.5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23259-2023</t>
        </is>
      </c>
      <c r="B184" s="1" t="n">
        <v>45075</v>
      </c>
      <c r="C184" s="1" t="n">
        <v>45695</v>
      </c>
      <c r="D184" t="inlineStr">
        <is>
          <t>JÖNKÖPINGS LÄN</t>
        </is>
      </c>
      <c r="E184" t="inlineStr">
        <is>
          <t>GNOSJÖ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23254-2023</t>
        </is>
      </c>
      <c r="B185" s="1" t="n">
        <v>45075</v>
      </c>
      <c r="C185" s="1" t="n">
        <v>45695</v>
      </c>
      <c r="D185" t="inlineStr">
        <is>
          <t>JÖNKÖPINGS LÄN</t>
        </is>
      </c>
      <c r="E185" t="inlineStr">
        <is>
          <t>GNOSJÖ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25837-2023</t>
        </is>
      </c>
      <c r="B186" s="1" t="n">
        <v>45090</v>
      </c>
      <c r="C186" s="1" t="n">
        <v>45695</v>
      </c>
      <c r="D186" t="inlineStr">
        <is>
          <t>JÖNKÖPINGS LÄN</t>
        </is>
      </c>
      <c r="E186" t="inlineStr">
        <is>
          <t>GNOSJÖ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26414-2023</t>
        </is>
      </c>
      <c r="B187" s="1" t="n">
        <v>45092</v>
      </c>
      <c r="C187" s="1" t="n">
        <v>45695</v>
      </c>
      <c r="D187" t="inlineStr">
        <is>
          <t>JÖNKÖPINGS LÄN</t>
        </is>
      </c>
      <c r="E187" t="inlineStr">
        <is>
          <t>GNOSJÖ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26418-2023</t>
        </is>
      </c>
      <c r="B188" s="1" t="n">
        <v>45092</v>
      </c>
      <c r="C188" s="1" t="n">
        <v>45695</v>
      </c>
      <c r="D188" t="inlineStr">
        <is>
          <t>JÖNKÖPINGS LÄN</t>
        </is>
      </c>
      <c r="E188" t="inlineStr">
        <is>
          <t>GNOSJÖ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26743-2023</t>
        </is>
      </c>
      <c r="B189" s="1" t="n">
        <v>45093</v>
      </c>
      <c r="C189" s="1" t="n">
        <v>45695</v>
      </c>
      <c r="D189" t="inlineStr">
        <is>
          <t>JÖNKÖPINGS LÄN</t>
        </is>
      </c>
      <c r="E189" t="inlineStr">
        <is>
          <t>GNOSJÖ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26746-2023</t>
        </is>
      </c>
      <c r="B190" s="1" t="n">
        <v>45093</v>
      </c>
      <c r="C190" s="1" t="n">
        <v>45695</v>
      </c>
      <c r="D190" t="inlineStr">
        <is>
          <t>JÖNKÖPINGS LÄN</t>
        </is>
      </c>
      <c r="E190" t="inlineStr">
        <is>
          <t>GNOSJÖ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27036-2023</t>
        </is>
      </c>
      <c r="B191" s="1" t="n">
        <v>45095</v>
      </c>
      <c r="C191" s="1" t="n">
        <v>45695</v>
      </c>
      <c r="D191" t="inlineStr">
        <is>
          <t>JÖNKÖPINGS LÄN</t>
        </is>
      </c>
      <c r="E191" t="inlineStr">
        <is>
          <t>GNOSJÖ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27040-2023</t>
        </is>
      </c>
      <c r="B192" s="1" t="n">
        <v>45095</v>
      </c>
      <c r="C192" s="1" t="n">
        <v>45695</v>
      </c>
      <c r="D192" t="inlineStr">
        <is>
          <t>JÖNKÖPINGS LÄN</t>
        </is>
      </c>
      <c r="E192" t="inlineStr">
        <is>
          <t>GNOSJÖ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27209-2023</t>
        </is>
      </c>
      <c r="B193" s="1" t="n">
        <v>45096</v>
      </c>
      <c r="C193" s="1" t="n">
        <v>45695</v>
      </c>
      <c r="D193" t="inlineStr">
        <is>
          <t>JÖNKÖPINGS LÄN</t>
        </is>
      </c>
      <c r="E193" t="inlineStr">
        <is>
          <t>GNOSJÖ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27258-2023</t>
        </is>
      </c>
      <c r="B194" s="1" t="n">
        <v>45096</v>
      </c>
      <c r="C194" s="1" t="n">
        <v>45695</v>
      </c>
      <c r="D194" t="inlineStr">
        <is>
          <t>JÖNKÖPINGS LÄN</t>
        </is>
      </c>
      <c r="E194" t="inlineStr">
        <is>
          <t>GNOSJÖ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27264-2023</t>
        </is>
      </c>
      <c r="B195" s="1" t="n">
        <v>45096</v>
      </c>
      <c r="C195" s="1" t="n">
        <v>45695</v>
      </c>
      <c r="D195" t="inlineStr">
        <is>
          <t>JÖNKÖPINGS LÄN</t>
        </is>
      </c>
      <c r="E195" t="inlineStr">
        <is>
          <t>GNOSJÖ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27716-2023</t>
        </is>
      </c>
      <c r="B196" s="1" t="n">
        <v>45098</v>
      </c>
      <c r="C196" s="1" t="n">
        <v>45695</v>
      </c>
      <c r="D196" t="inlineStr">
        <is>
          <t>JÖNKÖPINGS LÄN</t>
        </is>
      </c>
      <c r="E196" t="inlineStr">
        <is>
          <t>GNOSJÖ</t>
        </is>
      </c>
      <c r="G196" t="n">
        <v>13.4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27814-2023</t>
        </is>
      </c>
      <c r="B197" s="1" t="n">
        <v>45098</v>
      </c>
      <c r="C197" s="1" t="n">
        <v>45695</v>
      </c>
      <c r="D197" t="inlineStr">
        <is>
          <t>JÖNKÖPINGS LÄN</t>
        </is>
      </c>
      <c r="E197" t="inlineStr">
        <is>
          <t>GNOSJÖ</t>
        </is>
      </c>
      <c r="G197" t="n">
        <v>5.3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27816-2023</t>
        </is>
      </c>
      <c r="B198" s="1" t="n">
        <v>45098</v>
      </c>
      <c r="C198" s="1" t="n">
        <v>45695</v>
      </c>
      <c r="D198" t="inlineStr">
        <is>
          <t>JÖNKÖPINGS LÄN</t>
        </is>
      </c>
      <c r="E198" t="inlineStr">
        <is>
          <t>GNOSJÖ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28665-2023</t>
        </is>
      </c>
      <c r="B199" s="1" t="n">
        <v>45103</v>
      </c>
      <c r="C199" s="1" t="n">
        <v>45695</v>
      </c>
      <c r="D199" t="inlineStr">
        <is>
          <t>JÖNKÖPINGS LÄN</t>
        </is>
      </c>
      <c r="E199" t="inlineStr">
        <is>
          <t>GNOSJÖ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28661-2023</t>
        </is>
      </c>
      <c r="B200" s="1" t="n">
        <v>45103</v>
      </c>
      <c r="C200" s="1" t="n">
        <v>45695</v>
      </c>
      <c r="D200" t="inlineStr">
        <is>
          <t>JÖNKÖPINGS LÄN</t>
        </is>
      </c>
      <c r="E200" t="inlineStr">
        <is>
          <t>GNOSJÖ</t>
        </is>
      </c>
      <c r="G200" t="n">
        <v>6.9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31539-2023</t>
        </is>
      </c>
      <c r="B201" s="1" t="n">
        <v>45104</v>
      </c>
      <c r="C201" s="1" t="n">
        <v>45695</v>
      </c>
      <c r="D201" t="inlineStr">
        <is>
          <t>JÖNKÖPINGS LÄN</t>
        </is>
      </c>
      <c r="E201" t="inlineStr">
        <is>
          <t>GNOSJÖ</t>
        </is>
      </c>
      <c r="F201" t="inlineStr">
        <is>
          <t>Kyrkan</t>
        </is>
      </c>
      <c r="G201" t="n">
        <v>3.8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31563-2023</t>
        </is>
      </c>
      <c r="B202" s="1" t="n">
        <v>45104</v>
      </c>
      <c r="C202" s="1" t="n">
        <v>45695</v>
      </c>
      <c r="D202" t="inlineStr">
        <is>
          <t>JÖNKÖPINGS LÄN</t>
        </is>
      </c>
      <c r="E202" t="inlineStr">
        <is>
          <t>GNOSJÖ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31571-2023</t>
        </is>
      </c>
      <c r="B203" s="1" t="n">
        <v>45104</v>
      </c>
      <c r="C203" s="1" t="n">
        <v>45695</v>
      </c>
      <c r="D203" t="inlineStr">
        <is>
          <t>JÖNKÖPINGS LÄN</t>
        </is>
      </c>
      <c r="E203" t="inlineStr">
        <is>
          <t>GNOSJÖ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31100-2023</t>
        </is>
      </c>
      <c r="B204" s="1" t="n">
        <v>45113</v>
      </c>
      <c r="C204" s="1" t="n">
        <v>45695</v>
      </c>
      <c r="D204" t="inlineStr">
        <is>
          <t>JÖNKÖPINGS LÄN</t>
        </is>
      </c>
      <c r="E204" t="inlineStr">
        <is>
          <t>GNOSJÖ</t>
        </is>
      </c>
      <c r="G204" t="n">
        <v>4.6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30961-2023</t>
        </is>
      </c>
      <c r="B205" s="1" t="n">
        <v>45113</v>
      </c>
      <c r="C205" s="1" t="n">
        <v>45695</v>
      </c>
      <c r="D205" t="inlineStr">
        <is>
          <t>JÖNKÖPINGS LÄN</t>
        </is>
      </c>
      <c r="E205" t="inlineStr">
        <is>
          <t>GNOSJÖ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31671-2023</t>
        </is>
      </c>
      <c r="B206" s="1" t="n">
        <v>45117</v>
      </c>
      <c r="C206" s="1" t="n">
        <v>45695</v>
      </c>
      <c r="D206" t="inlineStr">
        <is>
          <t>JÖNKÖPINGS LÄN</t>
        </is>
      </c>
      <c r="E206" t="inlineStr">
        <is>
          <t>GNOSJÖ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31674-2023</t>
        </is>
      </c>
      <c r="B207" s="1" t="n">
        <v>45117</v>
      </c>
      <c r="C207" s="1" t="n">
        <v>45695</v>
      </c>
      <c r="D207" t="inlineStr">
        <is>
          <t>JÖNKÖPINGS LÄN</t>
        </is>
      </c>
      <c r="E207" t="inlineStr">
        <is>
          <t>GNOSJÖ</t>
        </is>
      </c>
      <c r="G207" t="n">
        <v>4.8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31772-2023</t>
        </is>
      </c>
      <c r="B208" s="1" t="n">
        <v>45118</v>
      </c>
      <c r="C208" s="1" t="n">
        <v>45695</v>
      </c>
      <c r="D208" t="inlineStr">
        <is>
          <t>JÖNKÖPINGS LÄN</t>
        </is>
      </c>
      <c r="E208" t="inlineStr">
        <is>
          <t>GNOSJÖ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31769-2023</t>
        </is>
      </c>
      <c r="B209" s="1" t="n">
        <v>45118</v>
      </c>
      <c r="C209" s="1" t="n">
        <v>45695</v>
      </c>
      <c r="D209" t="inlineStr">
        <is>
          <t>JÖNKÖPINGS LÄN</t>
        </is>
      </c>
      <c r="E209" t="inlineStr">
        <is>
          <t>GNOSJÖ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32560-2023</t>
        </is>
      </c>
      <c r="B210" s="1" t="n">
        <v>45121</v>
      </c>
      <c r="C210" s="1" t="n">
        <v>45695</v>
      </c>
      <c r="D210" t="inlineStr">
        <is>
          <t>JÖNKÖPINGS LÄN</t>
        </is>
      </c>
      <c r="E210" t="inlineStr">
        <is>
          <t>GNOSJÖ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32557-2023</t>
        </is>
      </c>
      <c r="B211" s="1" t="n">
        <v>45121</v>
      </c>
      <c r="C211" s="1" t="n">
        <v>45695</v>
      </c>
      <c r="D211" t="inlineStr">
        <is>
          <t>JÖNKÖPINGS LÄN</t>
        </is>
      </c>
      <c r="E211" t="inlineStr">
        <is>
          <t>GNOSJÖ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32826-2023</t>
        </is>
      </c>
      <c r="B212" s="1" t="n">
        <v>45124</v>
      </c>
      <c r="C212" s="1" t="n">
        <v>45695</v>
      </c>
      <c r="D212" t="inlineStr">
        <is>
          <t>JÖNKÖPINGS LÄN</t>
        </is>
      </c>
      <c r="E212" t="inlineStr">
        <is>
          <t>GNOSJÖ</t>
        </is>
      </c>
      <c r="G212" t="n">
        <v>0.4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34083-2023</t>
        </is>
      </c>
      <c r="B213" s="1" t="n">
        <v>45125</v>
      </c>
      <c r="C213" s="1" t="n">
        <v>45695</v>
      </c>
      <c r="D213" t="inlineStr">
        <is>
          <t>JÖNKÖPINGS LÄN</t>
        </is>
      </c>
      <c r="E213" t="inlineStr">
        <is>
          <t>GNOSJÖ</t>
        </is>
      </c>
      <c r="G213" t="n">
        <v>2.6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34621-2023</t>
        </is>
      </c>
      <c r="B214" s="1" t="n">
        <v>45140</v>
      </c>
      <c r="C214" s="1" t="n">
        <v>45695</v>
      </c>
      <c r="D214" t="inlineStr">
        <is>
          <t>JÖNKÖPINGS LÄN</t>
        </is>
      </c>
      <c r="E214" t="inlineStr">
        <is>
          <t>GNOSJÖ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35325-2023</t>
        </is>
      </c>
      <c r="B215" s="1" t="n">
        <v>45146</v>
      </c>
      <c r="C215" s="1" t="n">
        <v>45695</v>
      </c>
      <c r="D215" t="inlineStr">
        <is>
          <t>JÖNKÖPINGS LÄN</t>
        </is>
      </c>
      <c r="E215" t="inlineStr">
        <is>
          <t>GNOSJÖ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35944-2023</t>
        </is>
      </c>
      <c r="B216" s="1" t="n">
        <v>45148</v>
      </c>
      <c r="C216" s="1" t="n">
        <v>45695</v>
      </c>
      <c r="D216" t="inlineStr">
        <is>
          <t>JÖNKÖPINGS LÄN</t>
        </is>
      </c>
      <c r="E216" t="inlineStr">
        <is>
          <t>GNOSJÖ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35942-2023</t>
        </is>
      </c>
      <c r="B217" s="1" t="n">
        <v>45148</v>
      </c>
      <c r="C217" s="1" t="n">
        <v>45695</v>
      </c>
      <c r="D217" t="inlineStr">
        <is>
          <t>JÖNKÖPINGS LÄN</t>
        </is>
      </c>
      <c r="E217" t="inlineStr">
        <is>
          <t>GNOSJÖ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37047-2023</t>
        </is>
      </c>
      <c r="B218" s="1" t="n">
        <v>45155</v>
      </c>
      <c r="C218" s="1" t="n">
        <v>45695</v>
      </c>
      <c r="D218" t="inlineStr">
        <is>
          <t>JÖNKÖPINGS LÄN</t>
        </is>
      </c>
      <c r="E218" t="inlineStr">
        <is>
          <t>GNOSJÖ</t>
        </is>
      </c>
      <c r="G218" t="n">
        <v>11.1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37045-2023</t>
        </is>
      </c>
      <c r="B219" s="1" t="n">
        <v>45155</v>
      </c>
      <c r="C219" s="1" t="n">
        <v>45695</v>
      </c>
      <c r="D219" t="inlineStr">
        <is>
          <t>JÖNKÖPINGS LÄN</t>
        </is>
      </c>
      <c r="E219" t="inlineStr">
        <is>
          <t>GNOSJÖ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37043-2023</t>
        </is>
      </c>
      <c r="B220" s="1" t="n">
        <v>45155</v>
      </c>
      <c r="C220" s="1" t="n">
        <v>45695</v>
      </c>
      <c r="D220" t="inlineStr">
        <is>
          <t>JÖNKÖPINGS LÄN</t>
        </is>
      </c>
      <c r="E220" t="inlineStr">
        <is>
          <t>GNOSJÖ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37586-2023</t>
        </is>
      </c>
      <c r="B221" s="1" t="n">
        <v>45155</v>
      </c>
      <c r="C221" s="1" t="n">
        <v>45695</v>
      </c>
      <c r="D221" t="inlineStr">
        <is>
          <t>JÖNKÖPINGS LÄN</t>
        </is>
      </c>
      <c r="E221" t="inlineStr">
        <is>
          <t>GNOSJÖ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39668-2023</t>
        </is>
      </c>
      <c r="B222" s="1" t="n">
        <v>45167</v>
      </c>
      <c r="C222" s="1" t="n">
        <v>45695</v>
      </c>
      <c r="D222" t="inlineStr">
        <is>
          <t>JÖNKÖPINGS LÄN</t>
        </is>
      </c>
      <c r="E222" t="inlineStr">
        <is>
          <t>GNOSJÖ</t>
        </is>
      </c>
      <c r="G222" t="n">
        <v>0.3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40067-2023</t>
        </is>
      </c>
      <c r="B223" s="1" t="n">
        <v>45168</v>
      </c>
      <c r="C223" s="1" t="n">
        <v>45695</v>
      </c>
      <c r="D223" t="inlineStr">
        <is>
          <t>JÖNKÖPINGS LÄN</t>
        </is>
      </c>
      <c r="E223" t="inlineStr">
        <is>
          <t>GNOSJÖ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40314-2023</t>
        </is>
      </c>
      <c r="B224" s="1" t="n">
        <v>45169</v>
      </c>
      <c r="C224" s="1" t="n">
        <v>45695</v>
      </c>
      <c r="D224" t="inlineStr">
        <is>
          <t>JÖNKÖPINGS LÄN</t>
        </is>
      </c>
      <c r="E224" t="inlineStr">
        <is>
          <t>GNOSJÖ</t>
        </is>
      </c>
      <c r="G224" t="n">
        <v>3.7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40318-2023</t>
        </is>
      </c>
      <c r="B225" s="1" t="n">
        <v>45169</v>
      </c>
      <c r="C225" s="1" t="n">
        <v>45695</v>
      </c>
      <c r="D225" t="inlineStr">
        <is>
          <t>JÖNKÖPINGS LÄN</t>
        </is>
      </c>
      <c r="E225" t="inlineStr">
        <is>
          <t>GNOSJÖ</t>
        </is>
      </c>
      <c r="G225" t="n">
        <v>6.3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41357-2023</t>
        </is>
      </c>
      <c r="B226" s="1" t="n">
        <v>45174</v>
      </c>
      <c r="C226" s="1" t="n">
        <v>45695</v>
      </c>
      <c r="D226" t="inlineStr">
        <is>
          <t>JÖNKÖPINGS LÄN</t>
        </is>
      </c>
      <c r="E226" t="inlineStr">
        <is>
          <t>GNOSJÖ</t>
        </is>
      </c>
      <c r="G226" t="n">
        <v>4.1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41354-2023</t>
        </is>
      </c>
      <c r="B227" s="1" t="n">
        <v>45174</v>
      </c>
      <c r="C227" s="1" t="n">
        <v>45695</v>
      </c>
      <c r="D227" t="inlineStr">
        <is>
          <t>JÖNKÖPINGS LÄN</t>
        </is>
      </c>
      <c r="E227" t="inlineStr">
        <is>
          <t>GNOSJÖ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41348-2023</t>
        </is>
      </c>
      <c r="B228" s="1" t="n">
        <v>45174</v>
      </c>
      <c r="C228" s="1" t="n">
        <v>45695</v>
      </c>
      <c r="D228" t="inlineStr">
        <is>
          <t>JÖNKÖPINGS LÄN</t>
        </is>
      </c>
      <c r="E228" t="inlineStr">
        <is>
          <t>GNOSJÖ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41352-2023</t>
        </is>
      </c>
      <c r="B229" s="1" t="n">
        <v>45174</v>
      </c>
      <c r="C229" s="1" t="n">
        <v>45695</v>
      </c>
      <c r="D229" t="inlineStr">
        <is>
          <t>JÖNKÖPINGS LÄN</t>
        </is>
      </c>
      <c r="E229" t="inlineStr">
        <is>
          <t>GNOSJÖ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41347-2023</t>
        </is>
      </c>
      <c r="B230" s="1" t="n">
        <v>45174</v>
      </c>
      <c r="C230" s="1" t="n">
        <v>45695</v>
      </c>
      <c r="D230" t="inlineStr">
        <is>
          <t>JÖNKÖPINGS LÄN</t>
        </is>
      </c>
      <c r="E230" t="inlineStr">
        <is>
          <t>GNOSJÖ</t>
        </is>
      </c>
      <c r="G230" t="n">
        <v>6.2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41351-2023</t>
        </is>
      </c>
      <c r="B231" s="1" t="n">
        <v>45174</v>
      </c>
      <c r="C231" s="1" t="n">
        <v>45695</v>
      </c>
      <c r="D231" t="inlineStr">
        <is>
          <t>JÖNKÖPINGS LÄN</t>
        </is>
      </c>
      <c r="E231" t="inlineStr">
        <is>
          <t>GNOSJÖ</t>
        </is>
      </c>
      <c r="G231" t="n">
        <v>3.7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41355-2023</t>
        </is>
      </c>
      <c r="B232" s="1" t="n">
        <v>45174</v>
      </c>
      <c r="C232" s="1" t="n">
        <v>45695</v>
      </c>
      <c r="D232" t="inlineStr">
        <is>
          <t>JÖNKÖPINGS LÄN</t>
        </is>
      </c>
      <c r="E232" t="inlineStr">
        <is>
          <t>GNOSJÖ</t>
        </is>
      </c>
      <c r="G232" t="n">
        <v>2.9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42619-2023</t>
        </is>
      </c>
      <c r="B233" s="1" t="n">
        <v>45176</v>
      </c>
      <c r="C233" s="1" t="n">
        <v>45695</v>
      </c>
      <c r="D233" t="inlineStr">
        <is>
          <t>JÖNKÖPINGS LÄN</t>
        </is>
      </c>
      <c r="E233" t="inlineStr">
        <is>
          <t>GNOSJÖ</t>
        </is>
      </c>
      <c r="F233" t="inlineStr">
        <is>
          <t>Kyrkan</t>
        </is>
      </c>
      <c r="G233" t="n">
        <v>11.2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42638-2023</t>
        </is>
      </c>
      <c r="B234" s="1" t="n">
        <v>45176</v>
      </c>
      <c r="C234" s="1" t="n">
        <v>45695</v>
      </c>
      <c r="D234" t="inlineStr">
        <is>
          <t>JÖNKÖPINGS LÄN</t>
        </is>
      </c>
      <c r="E234" t="inlineStr">
        <is>
          <t>GNOSJÖ</t>
        </is>
      </c>
      <c r="F234" t="inlineStr">
        <is>
          <t>Kyrkan</t>
        </is>
      </c>
      <c r="G234" t="n">
        <v>8.300000000000001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42280-2023</t>
        </is>
      </c>
      <c r="B235" s="1" t="n">
        <v>45180</v>
      </c>
      <c r="C235" s="1" t="n">
        <v>45695</v>
      </c>
      <c r="D235" t="inlineStr">
        <is>
          <t>JÖNKÖPINGS LÄN</t>
        </is>
      </c>
      <c r="E235" t="inlineStr">
        <is>
          <t>GNOSJÖ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43742-2023</t>
        </is>
      </c>
      <c r="B236" s="1" t="n">
        <v>45187</v>
      </c>
      <c r="C236" s="1" t="n">
        <v>45695</v>
      </c>
      <c r="D236" t="inlineStr">
        <is>
          <t>JÖNKÖPINGS LÄN</t>
        </is>
      </c>
      <c r="E236" t="inlineStr">
        <is>
          <t>GNOSJÖ</t>
        </is>
      </c>
      <c r="G236" t="n">
        <v>3.9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43760-2023</t>
        </is>
      </c>
      <c r="B237" s="1" t="n">
        <v>45187</v>
      </c>
      <c r="C237" s="1" t="n">
        <v>45695</v>
      </c>
      <c r="D237" t="inlineStr">
        <is>
          <t>JÖNKÖPINGS LÄN</t>
        </is>
      </c>
      <c r="E237" t="inlineStr">
        <is>
          <t>GNOSJÖ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43777-2023</t>
        </is>
      </c>
      <c r="B238" s="1" t="n">
        <v>45187</v>
      </c>
      <c r="C238" s="1" t="n">
        <v>45695</v>
      </c>
      <c r="D238" t="inlineStr">
        <is>
          <t>JÖNKÖPINGS LÄN</t>
        </is>
      </c>
      <c r="E238" t="inlineStr">
        <is>
          <t>GNOSJÖ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43758-2023</t>
        </is>
      </c>
      <c r="B239" s="1" t="n">
        <v>45187</v>
      </c>
      <c r="C239" s="1" t="n">
        <v>45695</v>
      </c>
      <c r="D239" t="inlineStr">
        <is>
          <t>JÖNKÖPINGS LÄN</t>
        </is>
      </c>
      <c r="E239" t="inlineStr">
        <is>
          <t>GNOSJÖ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43787-2023</t>
        </is>
      </c>
      <c r="B240" s="1" t="n">
        <v>45187</v>
      </c>
      <c r="C240" s="1" t="n">
        <v>45695</v>
      </c>
      <c r="D240" t="inlineStr">
        <is>
          <t>JÖNKÖPINGS LÄN</t>
        </is>
      </c>
      <c r="E240" t="inlineStr">
        <is>
          <t>GNOSJÖ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43772-2023</t>
        </is>
      </c>
      <c r="B241" s="1" t="n">
        <v>45187</v>
      </c>
      <c r="C241" s="1" t="n">
        <v>45695</v>
      </c>
      <c r="D241" t="inlineStr">
        <is>
          <t>JÖNKÖPINGS LÄN</t>
        </is>
      </c>
      <c r="E241" t="inlineStr">
        <is>
          <t>GNOSJÖ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43780-2023</t>
        </is>
      </c>
      <c r="B242" s="1" t="n">
        <v>45187</v>
      </c>
      <c r="C242" s="1" t="n">
        <v>45695</v>
      </c>
      <c r="D242" t="inlineStr">
        <is>
          <t>JÖNKÖPINGS LÄN</t>
        </is>
      </c>
      <c r="E242" t="inlineStr">
        <is>
          <t>GNOSJÖ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43784-2023</t>
        </is>
      </c>
      <c r="B243" s="1" t="n">
        <v>45187</v>
      </c>
      <c r="C243" s="1" t="n">
        <v>45695</v>
      </c>
      <c r="D243" t="inlineStr">
        <is>
          <t>JÖNKÖPINGS LÄN</t>
        </is>
      </c>
      <c r="E243" t="inlineStr">
        <is>
          <t>GNOSJÖ</t>
        </is>
      </c>
      <c r="G243" t="n">
        <v>3.8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43761-2023</t>
        </is>
      </c>
      <c r="B244" s="1" t="n">
        <v>45187</v>
      </c>
      <c r="C244" s="1" t="n">
        <v>45695</v>
      </c>
      <c r="D244" t="inlineStr">
        <is>
          <t>JÖNKÖPINGS LÄN</t>
        </is>
      </c>
      <c r="E244" t="inlineStr">
        <is>
          <t>GNOSJÖ</t>
        </is>
      </c>
      <c r="G244" t="n">
        <v>4.9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43786-2023</t>
        </is>
      </c>
      <c r="B245" s="1" t="n">
        <v>45187</v>
      </c>
      <c r="C245" s="1" t="n">
        <v>45695</v>
      </c>
      <c r="D245" t="inlineStr">
        <is>
          <t>JÖNKÖPINGS LÄN</t>
        </is>
      </c>
      <c r="E245" t="inlineStr">
        <is>
          <t>GNOSJÖ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43790-2023</t>
        </is>
      </c>
      <c r="B246" s="1" t="n">
        <v>45187</v>
      </c>
      <c r="C246" s="1" t="n">
        <v>45695</v>
      </c>
      <c r="D246" t="inlineStr">
        <is>
          <t>JÖNKÖPINGS LÄN</t>
        </is>
      </c>
      <c r="E246" t="inlineStr">
        <is>
          <t>GNOSJÖ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47229-2023</t>
        </is>
      </c>
      <c r="B247" s="1" t="n">
        <v>45202</v>
      </c>
      <c r="C247" s="1" t="n">
        <v>45695</v>
      </c>
      <c r="D247" t="inlineStr">
        <is>
          <t>JÖNKÖPINGS LÄN</t>
        </is>
      </c>
      <c r="E247" t="inlineStr">
        <is>
          <t>GNOSJÖ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47454-2023</t>
        </is>
      </c>
      <c r="B248" s="1" t="n">
        <v>45202</v>
      </c>
      <c r="C248" s="1" t="n">
        <v>45695</v>
      </c>
      <c r="D248" t="inlineStr">
        <is>
          <t>JÖNKÖPINGS LÄN</t>
        </is>
      </c>
      <c r="E248" t="inlineStr">
        <is>
          <t>GNOSJÖ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49487-2023</t>
        </is>
      </c>
      <c r="B249" s="1" t="n">
        <v>45211</v>
      </c>
      <c r="C249" s="1" t="n">
        <v>45695</v>
      </c>
      <c r="D249" t="inlineStr">
        <is>
          <t>JÖNKÖPINGS LÄN</t>
        </is>
      </c>
      <c r="E249" t="inlineStr">
        <is>
          <t>GNOSJÖ</t>
        </is>
      </c>
      <c r="G249" t="n">
        <v>3.2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53515-2023</t>
        </is>
      </c>
      <c r="B250" s="1" t="n">
        <v>45230</v>
      </c>
      <c r="C250" s="1" t="n">
        <v>45695</v>
      </c>
      <c r="D250" t="inlineStr">
        <is>
          <t>JÖNKÖPINGS LÄN</t>
        </is>
      </c>
      <c r="E250" t="inlineStr">
        <is>
          <t>GNOSJÖ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55074-2023</t>
        </is>
      </c>
      <c r="B251" s="1" t="n">
        <v>45237</v>
      </c>
      <c r="C251" s="1" t="n">
        <v>45695</v>
      </c>
      <c r="D251" t="inlineStr">
        <is>
          <t>JÖNKÖPINGS LÄN</t>
        </is>
      </c>
      <c r="E251" t="inlineStr">
        <is>
          <t>GNOSJÖ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55161-2023</t>
        </is>
      </c>
      <c r="B252" s="1" t="n">
        <v>45237</v>
      </c>
      <c r="C252" s="1" t="n">
        <v>45695</v>
      </c>
      <c r="D252" t="inlineStr">
        <is>
          <t>JÖNKÖPINGS LÄN</t>
        </is>
      </c>
      <c r="E252" t="inlineStr">
        <is>
          <t>GNOSJÖ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55835-2023</t>
        </is>
      </c>
      <c r="B253" s="1" t="n">
        <v>45239</v>
      </c>
      <c r="C253" s="1" t="n">
        <v>45695</v>
      </c>
      <c r="D253" t="inlineStr">
        <is>
          <t>JÖNKÖPINGS LÄN</t>
        </is>
      </c>
      <c r="E253" t="inlineStr">
        <is>
          <t>GNOSJÖ</t>
        </is>
      </c>
      <c r="G253" t="n">
        <v>7.2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56393-2023</t>
        </is>
      </c>
      <c r="B254" s="1" t="n">
        <v>45243</v>
      </c>
      <c r="C254" s="1" t="n">
        <v>45695</v>
      </c>
      <c r="D254" t="inlineStr">
        <is>
          <t>JÖNKÖPINGS LÄN</t>
        </is>
      </c>
      <c r="E254" t="inlineStr">
        <is>
          <t>GNOSJÖ</t>
        </is>
      </c>
      <c r="G254" t="n">
        <v>4.1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57718-2023</t>
        </is>
      </c>
      <c r="B255" s="1" t="n">
        <v>45246</v>
      </c>
      <c r="C255" s="1" t="n">
        <v>45695</v>
      </c>
      <c r="D255" t="inlineStr">
        <is>
          <t>JÖNKÖPINGS LÄN</t>
        </is>
      </c>
      <c r="E255" t="inlineStr">
        <is>
          <t>GNOSJÖ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57725-2023</t>
        </is>
      </c>
      <c r="B256" s="1" t="n">
        <v>45246</v>
      </c>
      <c r="C256" s="1" t="n">
        <v>45695</v>
      </c>
      <c r="D256" t="inlineStr">
        <is>
          <t>JÖNKÖPINGS LÄN</t>
        </is>
      </c>
      <c r="E256" t="inlineStr">
        <is>
          <t>GNOSJÖ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57730-2023</t>
        </is>
      </c>
      <c r="B257" s="1" t="n">
        <v>45246</v>
      </c>
      <c r="C257" s="1" t="n">
        <v>45695</v>
      </c>
      <c r="D257" t="inlineStr">
        <is>
          <t>JÖNKÖPINGS LÄN</t>
        </is>
      </c>
      <c r="E257" t="inlineStr">
        <is>
          <t>GNOSJÖ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57978-2023</t>
        </is>
      </c>
      <c r="B258" s="1" t="n">
        <v>45247</v>
      </c>
      <c r="C258" s="1" t="n">
        <v>45695</v>
      </c>
      <c r="D258" t="inlineStr">
        <is>
          <t>JÖNKÖPINGS LÄN</t>
        </is>
      </c>
      <c r="E258" t="inlineStr">
        <is>
          <t>GNOSJÖ</t>
        </is>
      </c>
      <c r="G258" t="n">
        <v>4.1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59026-2023</t>
        </is>
      </c>
      <c r="B259" s="1" t="n">
        <v>45252</v>
      </c>
      <c r="C259" s="1" t="n">
        <v>45695</v>
      </c>
      <c r="D259" t="inlineStr">
        <is>
          <t>JÖNKÖPINGS LÄN</t>
        </is>
      </c>
      <c r="E259" t="inlineStr">
        <is>
          <t>GNOSJÖ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61532-2023</t>
        </is>
      </c>
      <c r="B260" s="1" t="n">
        <v>45265</v>
      </c>
      <c r="C260" s="1" t="n">
        <v>45695</v>
      </c>
      <c r="D260" t="inlineStr">
        <is>
          <t>JÖNKÖPINGS LÄN</t>
        </is>
      </c>
      <c r="E260" t="inlineStr">
        <is>
          <t>GNOSJÖ</t>
        </is>
      </c>
      <c r="F260" t="inlineStr">
        <is>
          <t>Sveaskog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61533-2023</t>
        </is>
      </c>
      <c r="B261" s="1" t="n">
        <v>45265</v>
      </c>
      <c r="C261" s="1" t="n">
        <v>45695</v>
      </c>
      <c r="D261" t="inlineStr">
        <is>
          <t>JÖNKÖPINGS LÄN</t>
        </is>
      </c>
      <c r="E261" t="inlineStr">
        <is>
          <t>GNOSJÖ</t>
        </is>
      </c>
      <c r="F261" t="inlineStr">
        <is>
          <t>Sveaskog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61531-2023</t>
        </is>
      </c>
      <c r="B262" s="1" t="n">
        <v>45265</v>
      </c>
      <c r="C262" s="1" t="n">
        <v>45695</v>
      </c>
      <c r="D262" t="inlineStr">
        <is>
          <t>JÖNKÖPINGS LÄN</t>
        </is>
      </c>
      <c r="E262" t="inlineStr">
        <is>
          <t>GNOSJÖ</t>
        </is>
      </c>
      <c r="F262" t="inlineStr">
        <is>
          <t>Sveaskog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61845-2023</t>
        </is>
      </c>
      <c r="B263" s="1" t="n">
        <v>45266</v>
      </c>
      <c r="C263" s="1" t="n">
        <v>45695</v>
      </c>
      <c r="D263" t="inlineStr">
        <is>
          <t>JÖNKÖPINGS LÄN</t>
        </is>
      </c>
      <c r="E263" t="inlineStr">
        <is>
          <t>GNOSJÖ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62780-2023</t>
        </is>
      </c>
      <c r="B264" s="1" t="n">
        <v>45271</v>
      </c>
      <c r="C264" s="1" t="n">
        <v>45695</v>
      </c>
      <c r="D264" t="inlineStr">
        <is>
          <t>JÖNKÖPINGS LÄN</t>
        </is>
      </c>
      <c r="E264" t="inlineStr">
        <is>
          <t>GNOSJÖ</t>
        </is>
      </c>
      <c r="G264" t="n">
        <v>12.4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63193-2023</t>
        </is>
      </c>
      <c r="B265" s="1" t="n">
        <v>45273</v>
      </c>
      <c r="C265" s="1" t="n">
        <v>45695</v>
      </c>
      <c r="D265" t="inlineStr">
        <is>
          <t>JÖNKÖPINGS LÄN</t>
        </is>
      </c>
      <c r="E265" t="inlineStr">
        <is>
          <t>GNOSJÖ</t>
        </is>
      </c>
      <c r="G265" t="n">
        <v>3.2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64481-2023</t>
        </is>
      </c>
      <c r="B266" s="1" t="n">
        <v>45280</v>
      </c>
      <c r="C266" s="1" t="n">
        <v>45695</v>
      </c>
      <c r="D266" t="inlineStr">
        <is>
          <t>JÖNKÖPINGS LÄN</t>
        </is>
      </c>
      <c r="E266" t="inlineStr">
        <is>
          <t>GNOSJÖ</t>
        </is>
      </c>
      <c r="G266" t="n">
        <v>5.5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64718-2023</t>
        </is>
      </c>
      <c r="B267" s="1" t="n">
        <v>45281</v>
      </c>
      <c r="C267" s="1" t="n">
        <v>45695</v>
      </c>
      <c r="D267" t="inlineStr">
        <is>
          <t>JÖNKÖPINGS LÄN</t>
        </is>
      </c>
      <c r="E267" t="inlineStr">
        <is>
          <t>GNOSJÖ</t>
        </is>
      </c>
      <c r="G267" t="n">
        <v>4.4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65070-2023</t>
        </is>
      </c>
      <c r="B268" s="1" t="n">
        <v>45287</v>
      </c>
      <c r="C268" s="1" t="n">
        <v>45695</v>
      </c>
      <c r="D268" t="inlineStr">
        <is>
          <t>JÖNKÖPINGS LÄN</t>
        </is>
      </c>
      <c r="E268" t="inlineStr">
        <is>
          <t>GNOSJÖ</t>
        </is>
      </c>
      <c r="G268" t="n">
        <v>5.9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360-2024</t>
        </is>
      </c>
      <c r="B269" s="1" t="n">
        <v>45295</v>
      </c>
      <c r="C269" s="1" t="n">
        <v>45695</v>
      </c>
      <c r="D269" t="inlineStr">
        <is>
          <t>JÖNKÖPINGS LÄN</t>
        </is>
      </c>
      <c r="E269" t="inlineStr">
        <is>
          <t>GNOSJÖ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359-2024</t>
        </is>
      </c>
      <c r="B270" s="1" t="n">
        <v>45295</v>
      </c>
      <c r="C270" s="1" t="n">
        <v>45695</v>
      </c>
      <c r="D270" t="inlineStr">
        <is>
          <t>JÖNKÖPINGS LÄN</t>
        </is>
      </c>
      <c r="E270" t="inlineStr">
        <is>
          <t>GNOSJÖ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1450-2024</t>
        </is>
      </c>
      <c r="B271" s="1" t="n">
        <v>45303</v>
      </c>
      <c r="C271" s="1" t="n">
        <v>45695</v>
      </c>
      <c r="D271" t="inlineStr">
        <is>
          <t>JÖNKÖPINGS LÄN</t>
        </is>
      </c>
      <c r="E271" t="inlineStr">
        <is>
          <t>GNOSJÖ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2636-2024</t>
        </is>
      </c>
      <c r="B272" s="1" t="n">
        <v>45314</v>
      </c>
      <c r="C272" s="1" t="n">
        <v>45695</v>
      </c>
      <c r="D272" t="inlineStr">
        <is>
          <t>JÖNKÖPINGS LÄN</t>
        </is>
      </c>
      <c r="E272" t="inlineStr">
        <is>
          <t>GNOSJÖ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3987-2024</t>
        </is>
      </c>
      <c r="B273" s="1" t="n">
        <v>45322</v>
      </c>
      <c r="C273" s="1" t="n">
        <v>45695</v>
      </c>
      <c r="D273" t="inlineStr">
        <is>
          <t>JÖNKÖPINGS LÄN</t>
        </is>
      </c>
      <c r="E273" t="inlineStr">
        <is>
          <t>GNOSJÖ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4564-2024</t>
        </is>
      </c>
      <c r="B274" s="1" t="n">
        <v>45327</v>
      </c>
      <c r="C274" s="1" t="n">
        <v>45695</v>
      </c>
      <c r="D274" t="inlineStr">
        <is>
          <t>JÖNKÖPINGS LÄN</t>
        </is>
      </c>
      <c r="E274" t="inlineStr">
        <is>
          <t>GNOSJÖ</t>
        </is>
      </c>
      <c r="G274" t="n">
        <v>5.5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5082-2024</t>
        </is>
      </c>
      <c r="B275" s="1" t="n">
        <v>45330</v>
      </c>
      <c r="C275" s="1" t="n">
        <v>45695</v>
      </c>
      <c r="D275" t="inlineStr">
        <is>
          <t>JÖNKÖPINGS LÄN</t>
        </is>
      </c>
      <c r="E275" t="inlineStr">
        <is>
          <t>GNOSJÖ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5083-2024</t>
        </is>
      </c>
      <c r="B276" s="1" t="n">
        <v>45330</v>
      </c>
      <c r="C276" s="1" t="n">
        <v>45695</v>
      </c>
      <c r="D276" t="inlineStr">
        <is>
          <t>JÖNKÖPINGS LÄN</t>
        </is>
      </c>
      <c r="E276" t="inlineStr">
        <is>
          <t>GNOSJÖ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5089-2024</t>
        </is>
      </c>
      <c r="B277" s="1" t="n">
        <v>45330</v>
      </c>
      <c r="C277" s="1" t="n">
        <v>45695</v>
      </c>
      <c r="D277" t="inlineStr">
        <is>
          <t>JÖNKÖPINGS LÄN</t>
        </is>
      </c>
      <c r="E277" t="inlineStr">
        <is>
          <t>GNOSJÖ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6662-2024</t>
        </is>
      </c>
      <c r="B278" s="1" t="n">
        <v>45341</v>
      </c>
      <c r="C278" s="1" t="n">
        <v>45695</v>
      </c>
      <c r="D278" t="inlineStr">
        <is>
          <t>JÖNKÖPINGS LÄN</t>
        </is>
      </c>
      <c r="E278" t="inlineStr">
        <is>
          <t>GNOSJÖ</t>
        </is>
      </c>
      <c r="G278" t="n">
        <v>0.2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7264-2024</t>
        </is>
      </c>
      <c r="B279" s="1" t="n">
        <v>45344</v>
      </c>
      <c r="C279" s="1" t="n">
        <v>45695</v>
      </c>
      <c r="D279" t="inlineStr">
        <is>
          <t>JÖNKÖPINGS LÄN</t>
        </is>
      </c>
      <c r="E279" t="inlineStr">
        <is>
          <t>GNOSJÖ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7308-2024</t>
        </is>
      </c>
      <c r="B280" s="1" t="n">
        <v>45345</v>
      </c>
      <c r="C280" s="1" t="n">
        <v>45695</v>
      </c>
      <c r="D280" t="inlineStr">
        <is>
          <t>JÖNKÖPINGS LÄN</t>
        </is>
      </c>
      <c r="E280" t="inlineStr">
        <is>
          <t>GNOSJÖ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7316-2024</t>
        </is>
      </c>
      <c r="B281" s="1" t="n">
        <v>45345</v>
      </c>
      <c r="C281" s="1" t="n">
        <v>45695</v>
      </c>
      <c r="D281" t="inlineStr">
        <is>
          <t>JÖNKÖPINGS LÄN</t>
        </is>
      </c>
      <c r="E281" t="inlineStr">
        <is>
          <t>GNOSJÖ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8747-2024</t>
        </is>
      </c>
      <c r="B282" s="1" t="n">
        <v>45356</v>
      </c>
      <c r="C282" s="1" t="n">
        <v>45695</v>
      </c>
      <c r="D282" t="inlineStr">
        <is>
          <t>JÖNKÖPINGS LÄN</t>
        </is>
      </c>
      <c r="E282" t="inlineStr">
        <is>
          <t>GNOSJÖ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10114-2024</t>
        </is>
      </c>
      <c r="B283" s="1" t="n">
        <v>45364</v>
      </c>
      <c r="C283" s="1" t="n">
        <v>45695</v>
      </c>
      <c r="D283" t="inlineStr">
        <is>
          <t>JÖNKÖPINGS LÄN</t>
        </is>
      </c>
      <c r="E283" t="inlineStr">
        <is>
          <t>GNOSJÖ</t>
        </is>
      </c>
      <c r="F283" t="inlineStr">
        <is>
          <t>Kommuner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10184-2024</t>
        </is>
      </c>
      <c r="B284" s="1" t="n">
        <v>45364</v>
      </c>
      <c r="C284" s="1" t="n">
        <v>45695</v>
      </c>
      <c r="D284" t="inlineStr">
        <is>
          <t>JÖNKÖPINGS LÄN</t>
        </is>
      </c>
      <c r="E284" t="inlineStr">
        <is>
          <t>GNOSJÖ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10507-2024</t>
        </is>
      </c>
      <c r="B285" s="1" t="n">
        <v>45366</v>
      </c>
      <c r="C285" s="1" t="n">
        <v>45695</v>
      </c>
      <c r="D285" t="inlineStr">
        <is>
          <t>JÖNKÖPINGS LÄN</t>
        </is>
      </c>
      <c r="E285" t="inlineStr">
        <is>
          <t>GNOSJÖ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10996-2024</t>
        </is>
      </c>
      <c r="B286" s="1" t="n">
        <v>45370</v>
      </c>
      <c r="C286" s="1" t="n">
        <v>45695</v>
      </c>
      <c r="D286" t="inlineStr">
        <is>
          <t>JÖNKÖPINGS LÄN</t>
        </is>
      </c>
      <c r="E286" t="inlineStr">
        <is>
          <t>GNOSJÖ</t>
        </is>
      </c>
      <c r="G286" t="n">
        <v>5.9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11157-2024</t>
        </is>
      </c>
      <c r="B287" s="1" t="n">
        <v>45371</v>
      </c>
      <c r="C287" s="1" t="n">
        <v>45695</v>
      </c>
      <c r="D287" t="inlineStr">
        <is>
          <t>JÖNKÖPINGS LÄN</t>
        </is>
      </c>
      <c r="E287" t="inlineStr">
        <is>
          <t>GNOSJÖ</t>
        </is>
      </c>
      <c r="G287" t="n">
        <v>3.1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11163-2024</t>
        </is>
      </c>
      <c r="B288" s="1" t="n">
        <v>45371</v>
      </c>
      <c r="C288" s="1" t="n">
        <v>45695</v>
      </c>
      <c r="D288" t="inlineStr">
        <is>
          <t>JÖNKÖPINGS LÄN</t>
        </is>
      </c>
      <c r="E288" t="inlineStr">
        <is>
          <t>GNOSJÖ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11192-2024</t>
        </is>
      </c>
      <c r="B289" s="1" t="n">
        <v>45371</v>
      </c>
      <c r="C289" s="1" t="n">
        <v>45695</v>
      </c>
      <c r="D289" t="inlineStr">
        <is>
          <t>JÖNKÖPINGS LÄN</t>
        </is>
      </c>
      <c r="E289" t="inlineStr">
        <is>
          <t>GNOSJÖ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12328-2024</t>
        </is>
      </c>
      <c r="B290" s="1" t="n">
        <v>45378</v>
      </c>
      <c r="C290" s="1" t="n">
        <v>45695</v>
      </c>
      <c r="D290" t="inlineStr">
        <is>
          <t>JÖNKÖPINGS LÄN</t>
        </is>
      </c>
      <c r="E290" t="inlineStr">
        <is>
          <t>GNOSJÖ</t>
        </is>
      </c>
      <c r="G290" t="n">
        <v>3.1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12217-2024</t>
        </is>
      </c>
      <c r="B291" s="1" t="n">
        <v>45378</v>
      </c>
      <c r="C291" s="1" t="n">
        <v>45695</v>
      </c>
      <c r="D291" t="inlineStr">
        <is>
          <t>JÖNKÖPINGS LÄN</t>
        </is>
      </c>
      <c r="E291" t="inlineStr">
        <is>
          <t>GNOSJÖ</t>
        </is>
      </c>
      <c r="G291" t="n">
        <v>6.5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13352-2024</t>
        </is>
      </c>
      <c r="B292" s="1" t="n">
        <v>45387</v>
      </c>
      <c r="C292" s="1" t="n">
        <v>45695</v>
      </c>
      <c r="D292" t="inlineStr">
        <is>
          <t>JÖNKÖPINGS LÄN</t>
        </is>
      </c>
      <c r="E292" t="inlineStr">
        <is>
          <t>GNOSJÖ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13610-2024</t>
        </is>
      </c>
      <c r="B293" s="1" t="n">
        <v>45390</v>
      </c>
      <c r="C293" s="1" t="n">
        <v>45695</v>
      </c>
      <c r="D293" t="inlineStr">
        <is>
          <t>JÖNKÖPINGS LÄN</t>
        </is>
      </c>
      <c r="E293" t="inlineStr">
        <is>
          <t>GNOSJÖ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13852-2024</t>
        </is>
      </c>
      <c r="B294" s="1" t="n">
        <v>45391</v>
      </c>
      <c r="C294" s="1" t="n">
        <v>45695</v>
      </c>
      <c r="D294" t="inlineStr">
        <is>
          <t>JÖNKÖPINGS LÄN</t>
        </is>
      </c>
      <c r="E294" t="inlineStr">
        <is>
          <t>GNOSJÖ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13913-2024</t>
        </is>
      </c>
      <c r="B295" s="1" t="n">
        <v>45391</v>
      </c>
      <c r="C295" s="1" t="n">
        <v>45695</v>
      </c>
      <c r="D295" t="inlineStr">
        <is>
          <t>JÖNKÖPINGS LÄN</t>
        </is>
      </c>
      <c r="E295" t="inlineStr">
        <is>
          <t>GNOSJÖ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15436-2024</t>
        </is>
      </c>
      <c r="B296" s="1" t="n">
        <v>45401</v>
      </c>
      <c r="C296" s="1" t="n">
        <v>45695</v>
      </c>
      <c r="D296" t="inlineStr">
        <is>
          <t>JÖNKÖPINGS LÄN</t>
        </is>
      </c>
      <c r="E296" t="inlineStr">
        <is>
          <t>GNOSJÖ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18315-2024</t>
        </is>
      </c>
      <c r="B297" s="1" t="n">
        <v>45422</v>
      </c>
      <c r="C297" s="1" t="n">
        <v>45695</v>
      </c>
      <c r="D297" t="inlineStr">
        <is>
          <t>JÖNKÖPINGS LÄN</t>
        </is>
      </c>
      <c r="E297" t="inlineStr">
        <is>
          <t>GNOSJÖ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18314-2024</t>
        </is>
      </c>
      <c r="B298" s="1" t="n">
        <v>45422</v>
      </c>
      <c r="C298" s="1" t="n">
        <v>45695</v>
      </c>
      <c r="D298" t="inlineStr">
        <is>
          <t>JÖNKÖPINGS LÄN</t>
        </is>
      </c>
      <c r="E298" t="inlineStr">
        <is>
          <t>GNOSJÖ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20948-2024</t>
        </is>
      </c>
      <c r="B299" s="1" t="n">
        <v>45439</v>
      </c>
      <c r="C299" s="1" t="n">
        <v>45695</v>
      </c>
      <c r="D299" t="inlineStr">
        <is>
          <t>JÖNKÖPINGS LÄN</t>
        </is>
      </c>
      <c r="E299" t="inlineStr">
        <is>
          <t>GNOSJÖ</t>
        </is>
      </c>
      <c r="G299" t="n">
        <v>6.4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21210-2024</t>
        </is>
      </c>
      <c r="B300" s="1" t="n">
        <v>45440</v>
      </c>
      <c r="C300" s="1" t="n">
        <v>45695</v>
      </c>
      <c r="D300" t="inlineStr">
        <is>
          <t>JÖNKÖPINGS LÄN</t>
        </is>
      </c>
      <c r="E300" t="inlineStr">
        <is>
          <t>GNOSJÖ</t>
        </is>
      </c>
      <c r="F300" t="inlineStr">
        <is>
          <t>Kyrkan</t>
        </is>
      </c>
      <c r="G300" t="n">
        <v>5.3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21721-2024</t>
        </is>
      </c>
      <c r="B301" s="1" t="n">
        <v>45442</v>
      </c>
      <c r="C301" s="1" t="n">
        <v>45695</v>
      </c>
      <c r="D301" t="inlineStr">
        <is>
          <t>JÖNKÖPINGS LÄN</t>
        </is>
      </c>
      <c r="E301" t="inlineStr">
        <is>
          <t>GNOSJÖ</t>
        </is>
      </c>
      <c r="G301" t="n">
        <v>4.1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21781-2024</t>
        </is>
      </c>
      <c r="B302" s="1" t="n">
        <v>45442</v>
      </c>
      <c r="C302" s="1" t="n">
        <v>45695</v>
      </c>
      <c r="D302" t="inlineStr">
        <is>
          <t>JÖNKÖPINGS LÄN</t>
        </is>
      </c>
      <c r="E302" t="inlineStr">
        <is>
          <t>GNOSJÖ</t>
        </is>
      </c>
      <c r="F302" t="inlineStr">
        <is>
          <t>Övriga Aktiebolag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22650-2024</t>
        </is>
      </c>
      <c r="B303" s="1" t="n">
        <v>45447</v>
      </c>
      <c r="C303" s="1" t="n">
        <v>45695</v>
      </c>
      <c r="D303" t="inlineStr">
        <is>
          <t>JÖNKÖPINGS LÄN</t>
        </is>
      </c>
      <c r="E303" t="inlineStr">
        <is>
          <t>GNOSJÖ</t>
        </is>
      </c>
      <c r="G303" t="n">
        <v>7.9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22647-2024</t>
        </is>
      </c>
      <c r="B304" s="1" t="n">
        <v>45447</v>
      </c>
      <c r="C304" s="1" t="n">
        <v>45695</v>
      </c>
      <c r="D304" t="inlineStr">
        <is>
          <t>JÖNKÖPINGS LÄN</t>
        </is>
      </c>
      <c r="E304" t="inlineStr">
        <is>
          <t>GNOSJÖ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22846-2024</t>
        </is>
      </c>
      <c r="B305" s="1" t="n">
        <v>45448</v>
      </c>
      <c r="C305" s="1" t="n">
        <v>45695</v>
      </c>
      <c r="D305" t="inlineStr">
        <is>
          <t>JÖNKÖPINGS LÄN</t>
        </is>
      </c>
      <c r="E305" t="inlineStr">
        <is>
          <t>GNOSJÖ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22972-2024</t>
        </is>
      </c>
      <c r="B306" s="1" t="n">
        <v>45449</v>
      </c>
      <c r="C306" s="1" t="n">
        <v>45695</v>
      </c>
      <c r="D306" t="inlineStr">
        <is>
          <t>JÖNKÖPINGS LÄN</t>
        </is>
      </c>
      <c r="E306" t="inlineStr">
        <is>
          <t>GNOSJÖ</t>
        </is>
      </c>
      <c r="G306" t="n">
        <v>4.2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23778-2024</t>
        </is>
      </c>
      <c r="B307" s="1" t="n">
        <v>45455</v>
      </c>
      <c r="C307" s="1" t="n">
        <v>45695</v>
      </c>
      <c r="D307" t="inlineStr">
        <is>
          <t>JÖNKÖPINGS LÄN</t>
        </is>
      </c>
      <c r="E307" t="inlineStr">
        <is>
          <t>GNOSJÖ</t>
        </is>
      </c>
      <c r="G307" t="n">
        <v>2.8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23831-2024</t>
        </is>
      </c>
      <c r="B308" s="1" t="n">
        <v>45455</v>
      </c>
      <c r="C308" s="1" t="n">
        <v>45695</v>
      </c>
      <c r="D308" t="inlineStr">
        <is>
          <t>JÖNKÖPINGS LÄN</t>
        </is>
      </c>
      <c r="E308" t="inlineStr">
        <is>
          <t>GNOSJÖ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24046-2024</t>
        </is>
      </c>
      <c r="B309" s="1" t="n">
        <v>45456</v>
      </c>
      <c r="C309" s="1" t="n">
        <v>45695</v>
      </c>
      <c r="D309" t="inlineStr">
        <is>
          <t>JÖNKÖPINGS LÄN</t>
        </is>
      </c>
      <c r="E309" t="inlineStr">
        <is>
          <t>GNOSJÖ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24719-2024</t>
        </is>
      </c>
      <c r="B310" s="1" t="n">
        <v>45460</v>
      </c>
      <c r="C310" s="1" t="n">
        <v>45695</v>
      </c>
      <c r="D310" t="inlineStr">
        <is>
          <t>JÖNKÖPINGS LÄN</t>
        </is>
      </c>
      <c r="E310" t="inlineStr">
        <is>
          <t>GNOSJÖ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25855-2024</t>
        </is>
      </c>
      <c r="B311" s="1" t="n">
        <v>45467</v>
      </c>
      <c r="C311" s="1" t="n">
        <v>45695</v>
      </c>
      <c r="D311" t="inlineStr">
        <is>
          <t>JÖNKÖPINGS LÄN</t>
        </is>
      </c>
      <c r="E311" t="inlineStr">
        <is>
          <t>GNOSJÖ</t>
        </is>
      </c>
      <c r="G311" t="n">
        <v>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26217-2024</t>
        </is>
      </c>
      <c r="B312" s="1" t="n">
        <v>45468</v>
      </c>
      <c r="C312" s="1" t="n">
        <v>45695</v>
      </c>
      <c r="D312" t="inlineStr">
        <is>
          <t>JÖNKÖPINGS LÄN</t>
        </is>
      </c>
      <c r="E312" t="inlineStr">
        <is>
          <t>GNOSJÖ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26214-2024</t>
        </is>
      </c>
      <c r="B313" s="1" t="n">
        <v>45468</v>
      </c>
      <c r="C313" s="1" t="n">
        <v>45695</v>
      </c>
      <c r="D313" t="inlineStr">
        <is>
          <t>JÖNKÖPINGS LÄN</t>
        </is>
      </c>
      <c r="E313" t="inlineStr">
        <is>
          <t>GNOSJÖ</t>
        </is>
      </c>
      <c r="G313" t="n">
        <v>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26210-2024</t>
        </is>
      </c>
      <c r="B314" s="1" t="n">
        <v>45468</v>
      </c>
      <c r="C314" s="1" t="n">
        <v>45695</v>
      </c>
      <c r="D314" t="inlineStr">
        <is>
          <t>JÖNKÖPINGS LÄN</t>
        </is>
      </c>
      <c r="E314" t="inlineStr">
        <is>
          <t>GNOSJÖ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26219-2024</t>
        </is>
      </c>
      <c r="B315" s="1" t="n">
        <v>45468</v>
      </c>
      <c r="C315" s="1" t="n">
        <v>45695</v>
      </c>
      <c r="D315" t="inlineStr">
        <is>
          <t>JÖNKÖPINGS LÄN</t>
        </is>
      </c>
      <c r="E315" t="inlineStr">
        <is>
          <t>GNOSJÖ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26330-2024</t>
        </is>
      </c>
      <c r="B316" s="1" t="n">
        <v>45469</v>
      </c>
      <c r="C316" s="1" t="n">
        <v>45695</v>
      </c>
      <c r="D316" t="inlineStr">
        <is>
          <t>JÖNKÖPINGS LÄN</t>
        </is>
      </c>
      <c r="E316" t="inlineStr">
        <is>
          <t>GNOSJÖ</t>
        </is>
      </c>
      <c r="G316" t="n">
        <v>2.7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27494-2024</t>
        </is>
      </c>
      <c r="B317" s="1" t="n">
        <v>45474</v>
      </c>
      <c r="C317" s="1" t="n">
        <v>45695</v>
      </c>
      <c r="D317" t="inlineStr">
        <is>
          <t>JÖNKÖPINGS LÄN</t>
        </is>
      </c>
      <c r="E317" t="inlineStr">
        <is>
          <t>GNOSJÖ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28209-2024</t>
        </is>
      </c>
      <c r="B318" s="1" t="n">
        <v>45477</v>
      </c>
      <c r="C318" s="1" t="n">
        <v>45695</v>
      </c>
      <c r="D318" t="inlineStr">
        <is>
          <t>JÖNKÖPINGS LÄN</t>
        </is>
      </c>
      <c r="E318" t="inlineStr">
        <is>
          <t>GNOSJÖ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29497-2024</t>
        </is>
      </c>
      <c r="B319" s="1" t="n">
        <v>45484</v>
      </c>
      <c r="C319" s="1" t="n">
        <v>45695</v>
      </c>
      <c r="D319" t="inlineStr">
        <is>
          <t>JÖNKÖPINGS LÄN</t>
        </is>
      </c>
      <c r="E319" t="inlineStr">
        <is>
          <t>GNOSJÖ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29707-2024</t>
        </is>
      </c>
      <c r="B320" s="1" t="n">
        <v>45485</v>
      </c>
      <c r="C320" s="1" t="n">
        <v>45695</v>
      </c>
      <c r="D320" t="inlineStr">
        <is>
          <t>JÖNKÖPINGS LÄN</t>
        </is>
      </c>
      <c r="E320" t="inlineStr">
        <is>
          <t>GNOSJÖ</t>
        </is>
      </c>
      <c r="G320" t="n">
        <v>7.7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30095-2024</t>
        </is>
      </c>
      <c r="B321" s="1" t="n">
        <v>45489</v>
      </c>
      <c r="C321" s="1" t="n">
        <v>45695</v>
      </c>
      <c r="D321" t="inlineStr">
        <is>
          <t>JÖNKÖPINGS LÄN</t>
        </is>
      </c>
      <c r="E321" t="inlineStr">
        <is>
          <t>GNOSJÖ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30091-2024</t>
        </is>
      </c>
      <c r="B322" s="1" t="n">
        <v>45489</v>
      </c>
      <c r="C322" s="1" t="n">
        <v>45695</v>
      </c>
      <c r="D322" t="inlineStr">
        <is>
          <t>JÖNKÖPINGS LÄN</t>
        </is>
      </c>
      <c r="E322" t="inlineStr">
        <is>
          <t>GNOSJÖ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30101-2024</t>
        </is>
      </c>
      <c r="B323" s="1" t="n">
        <v>45489</v>
      </c>
      <c r="C323" s="1" t="n">
        <v>45695</v>
      </c>
      <c r="D323" t="inlineStr">
        <is>
          <t>JÖNKÖPINGS LÄN</t>
        </is>
      </c>
      <c r="E323" t="inlineStr">
        <is>
          <t>GNOSJÖ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30314-2024</t>
        </is>
      </c>
      <c r="B324" s="1" t="n">
        <v>45490</v>
      </c>
      <c r="C324" s="1" t="n">
        <v>45695</v>
      </c>
      <c r="D324" t="inlineStr">
        <is>
          <t>JÖNKÖPINGS LÄN</t>
        </is>
      </c>
      <c r="E324" t="inlineStr">
        <is>
          <t>GNOSJÖ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30630-2024</t>
        </is>
      </c>
      <c r="B325" s="1" t="n">
        <v>45495</v>
      </c>
      <c r="C325" s="1" t="n">
        <v>45695</v>
      </c>
      <c r="D325" t="inlineStr">
        <is>
          <t>JÖNKÖPINGS LÄN</t>
        </is>
      </c>
      <c r="E325" t="inlineStr">
        <is>
          <t>GNOSJÖ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32179-2024</t>
        </is>
      </c>
      <c r="B326" s="1" t="n">
        <v>45511</v>
      </c>
      <c r="C326" s="1" t="n">
        <v>45695</v>
      </c>
      <c r="D326" t="inlineStr">
        <is>
          <t>JÖNKÖPINGS LÄN</t>
        </is>
      </c>
      <c r="E326" t="inlineStr">
        <is>
          <t>GNOSJÖ</t>
        </is>
      </c>
      <c r="G326" t="n">
        <v>7.6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32177-2024</t>
        </is>
      </c>
      <c r="B327" s="1" t="n">
        <v>45511</v>
      </c>
      <c r="C327" s="1" t="n">
        <v>45695</v>
      </c>
      <c r="D327" t="inlineStr">
        <is>
          <t>JÖNKÖPINGS LÄN</t>
        </is>
      </c>
      <c r="E327" t="inlineStr">
        <is>
          <t>GNOSJÖ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36905-2024</t>
        </is>
      </c>
      <c r="B328" s="1" t="n">
        <v>45538</v>
      </c>
      <c r="C328" s="1" t="n">
        <v>45695</v>
      </c>
      <c r="D328" t="inlineStr">
        <is>
          <t>JÖNKÖPINGS LÄN</t>
        </is>
      </c>
      <c r="E328" t="inlineStr">
        <is>
          <t>GNOSJÖ</t>
        </is>
      </c>
      <c r="G328" t="n">
        <v>2.9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37963-2024</t>
        </is>
      </c>
      <c r="B329" s="1" t="n">
        <v>45544</v>
      </c>
      <c r="C329" s="1" t="n">
        <v>45695</v>
      </c>
      <c r="D329" t="inlineStr">
        <is>
          <t>JÖNKÖPINGS LÄN</t>
        </is>
      </c>
      <c r="E329" t="inlineStr">
        <is>
          <t>GNOSJÖ</t>
        </is>
      </c>
      <c r="G329" t="n">
        <v>5.3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37962-2024</t>
        </is>
      </c>
      <c r="B330" s="1" t="n">
        <v>45544</v>
      </c>
      <c r="C330" s="1" t="n">
        <v>45695</v>
      </c>
      <c r="D330" t="inlineStr">
        <is>
          <t>JÖNKÖPINGS LÄN</t>
        </is>
      </c>
      <c r="E330" t="inlineStr">
        <is>
          <t>GNOSJÖ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38621-2024</t>
        </is>
      </c>
      <c r="B331" s="1" t="n">
        <v>45546</v>
      </c>
      <c r="C331" s="1" t="n">
        <v>45695</v>
      </c>
      <c r="D331" t="inlineStr">
        <is>
          <t>JÖNKÖPINGS LÄN</t>
        </is>
      </c>
      <c r="E331" t="inlineStr">
        <is>
          <t>GNOSJÖ</t>
        </is>
      </c>
      <c r="F331" t="inlineStr">
        <is>
          <t>Kyrkan</t>
        </is>
      </c>
      <c r="G331" t="n">
        <v>6.5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38626-2024</t>
        </is>
      </c>
      <c r="B332" s="1" t="n">
        <v>45546</v>
      </c>
      <c r="C332" s="1" t="n">
        <v>45695</v>
      </c>
      <c r="D332" t="inlineStr">
        <is>
          <t>JÖNKÖPINGS LÄN</t>
        </is>
      </c>
      <c r="E332" t="inlineStr">
        <is>
          <t>GNOSJÖ</t>
        </is>
      </c>
      <c r="F332" t="inlineStr">
        <is>
          <t>Kyrkan</t>
        </is>
      </c>
      <c r="G332" t="n">
        <v>11.7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40244-2024</t>
        </is>
      </c>
      <c r="B333" s="1" t="n">
        <v>45554</v>
      </c>
      <c r="C333" s="1" t="n">
        <v>45695</v>
      </c>
      <c r="D333" t="inlineStr">
        <is>
          <t>JÖNKÖPINGS LÄN</t>
        </is>
      </c>
      <c r="E333" t="inlineStr">
        <is>
          <t>GNOSJÖ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40381-2024</t>
        </is>
      </c>
      <c r="B334" s="1" t="n">
        <v>45555</v>
      </c>
      <c r="C334" s="1" t="n">
        <v>45695</v>
      </c>
      <c r="D334" t="inlineStr">
        <is>
          <t>JÖNKÖPINGS LÄN</t>
        </is>
      </c>
      <c r="E334" t="inlineStr">
        <is>
          <t>GNOSJÖ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42042-2024</t>
        </is>
      </c>
      <c r="B335" s="1" t="n">
        <v>45561</v>
      </c>
      <c r="C335" s="1" t="n">
        <v>45695</v>
      </c>
      <c r="D335" t="inlineStr">
        <is>
          <t>JÖNKÖPINGS LÄN</t>
        </is>
      </c>
      <c r="E335" t="inlineStr">
        <is>
          <t>GNOSJÖ</t>
        </is>
      </c>
      <c r="F335" t="inlineStr">
        <is>
          <t>Kyrkan</t>
        </is>
      </c>
      <c r="G335" t="n">
        <v>8.6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42279-2024</t>
        </is>
      </c>
      <c r="B336" s="1" t="n">
        <v>45562</v>
      </c>
      <c r="C336" s="1" t="n">
        <v>45695</v>
      </c>
      <c r="D336" t="inlineStr">
        <is>
          <t>JÖNKÖPINGS LÄN</t>
        </is>
      </c>
      <c r="E336" t="inlineStr">
        <is>
          <t>GNOSJÖ</t>
        </is>
      </c>
      <c r="F336" t="inlineStr">
        <is>
          <t>Kyrkan</t>
        </is>
      </c>
      <c r="G336" t="n">
        <v>4.4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42271-2024</t>
        </is>
      </c>
      <c r="B337" s="1" t="n">
        <v>45562</v>
      </c>
      <c r="C337" s="1" t="n">
        <v>45695</v>
      </c>
      <c r="D337" t="inlineStr">
        <is>
          <t>JÖNKÖPINGS LÄN</t>
        </is>
      </c>
      <c r="E337" t="inlineStr">
        <is>
          <t>GNOSJÖ</t>
        </is>
      </c>
      <c r="F337" t="inlineStr">
        <is>
          <t>Kyrkan</t>
        </is>
      </c>
      <c r="G337" t="n">
        <v>7.1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43582-2024</t>
        </is>
      </c>
      <c r="B338" s="1" t="n">
        <v>45569</v>
      </c>
      <c r="C338" s="1" t="n">
        <v>45695</v>
      </c>
      <c r="D338" t="inlineStr">
        <is>
          <t>JÖNKÖPINGS LÄN</t>
        </is>
      </c>
      <c r="E338" t="inlineStr">
        <is>
          <t>GNOSJÖ</t>
        </is>
      </c>
      <c r="G338" t="n">
        <v>3.4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43703-2024</t>
        </is>
      </c>
      <c r="B339" s="1" t="n">
        <v>45569</v>
      </c>
      <c r="C339" s="1" t="n">
        <v>45695</v>
      </c>
      <c r="D339" t="inlineStr">
        <is>
          <t>JÖNKÖPINGS LÄN</t>
        </is>
      </c>
      <c r="E339" t="inlineStr">
        <is>
          <t>GNOSJÖ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46208-2024</t>
        </is>
      </c>
      <c r="B340" s="1" t="n">
        <v>45581</v>
      </c>
      <c r="C340" s="1" t="n">
        <v>45695</v>
      </c>
      <c r="D340" t="inlineStr">
        <is>
          <t>JÖNKÖPINGS LÄN</t>
        </is>
      </c>
      <c r="E340" t="inlineStr">
        <is>
          <t>GNOSJÖ</t>
        </is>
      </c>
      <c r="G340" t="n">
        <v>12.7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46254-2024</t>
        </is>
      </c>
      <c r="B341" s="1" t="n">
        <v>45581</v>
      </c>
      <c r="C341" s="1" t="n">
        <v>45695</v>
      </c>
      <c r="D341" t="inlineStr">
        <is>
          <t>JÖNKÖPINGS LÄN</t>
        </is>
      </c>
      <c r="E341" t="inlineStr">
        <is>
          <t>GNOSJÖ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46258-2024</t>
        </is>
      </c>
      <c r="B342" s="1" t="n">
        <v>45581</v>
      </c>
      <c r="C342" s="1" t="n">
        <v>45695</v>
      </c>
      <c r="D342" t="inlineStr">
        <is>
          <t>JÖNKÖPINGS LÄN</t>
        </is>
      </c>
      <c r="E342" t="inlineStr">
        <is>
          <t>GNOSJÖ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46525-2024</t>
        </is>
      </c>
      <c r="B343" s="1" t="n">
        <v>45582</v>
      </c>
      <c r="C343" s="1" t="n">
        <v>45695</v>
      </c>
      <c r="D343" t="inlineStr">
        <is>
          <t>JÖNKÖPINGS LÄN</t>
        </is>
      </c>
      <c r="E343" t="inlineStr">
        <is>
          <t>GNOSJÖ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47774-2024</t>
        </is>
      </c>
      <c r="B344" s="1" t="n">
        <v>45588</v>
      </c>
      <c r="C344" s="1" t="n">
        <v>45695</v>
      </c>
      <c r="D344" t="inlineStr">
        <is>
          <t>JÖNKÖPINGS LÄN</t>
        </is>
      </c>
      <c r="E344" t="inlineStr">
        <is>
          <t>GNOSJÖ</t>
        </is>
      </c>
      <c r="F344" t="inlineStr">
        <is>
          <t>Kyrkan</t>
        </is>
      </c>
      <c r="G344" t="n">
        <v>4.8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47967-2024</t>
        </is>
      </c>
      <c r="B345" s="1" t="n">
        <v>45589</v>
      </c>
      <c r="C345" s="1" t="n">
        <v>45695</v>
      </c>
      <c r="D345" t="inlineStr">
        <is>
          <t>JÖNKÖPINGS LÄN</t>
        </is>
      </c>
      <c r="E345" t="inlineStr">
        <is>
          <t>GNOSJÖ</t>
        </is>
      </c>
      <c r="G345" t="n">
        <v>3.5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48094-2024</t>
        </is>
      </c>
      <c r="B346" s="1" t="n">
        <v>45589</v>
      </c>
      <c r="C346" s="1" t="n">
        <v>45695</v>
      </c>
      <c r="D346" t="inlineStr">
        <is>
          <t>JÖNKÖPINGS LÄN</t>
        </is>
      </c>
      <c r="E346" t="inlineStr">
        <is>
          <t>GNOSJÖ</t>
        </is>
      </c>
      <c r="G346" t="n">
        <v>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48482-2024</t>
        </is>
      </c>
      <c r="B347" s="1" t="n">
        <v>45592</v>
      </c>
      <c r="C347" s="1" t="n">
        <v>45695</v>
      </c>
      <c r="D347" t="inlineStr">
        <is>
          <t>JÖNKÖPINGS LÄN</t>
        </is>
      </c>
      <c r="E347" t="inlineStr">
        <is>
          <t>GNOSJÖ</t>
        </is>
      </c>
      <c r="G347" t="n">
        <v>3.3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48481-2024</t>
        </is>
      </c>
      <c r="B348" s="1" t="n">
        <v>45592</v>
      </c>
      <c r="C348" s="1" t="n">
        <v>45695</v>
      </c>
      <c r="D348" t="inlineStr">
        <is>
          <t>JÖNKÖPINGS LÄN</t>
        </is>
      </c>
      <c r="E348" t="inlineStr">
        <is>
          <t>GNOSJÖ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48480-2024</t>
        </is>
      </c>
      <c r="B349" s="1" t="n">
        <v>45592</v>
      </c>
      <c r="C349" s="1" t="n">
        <v>45695</v>
      </c>
      <c r="D349" t="inlineStr">
        <is>
          <t>JÖNKÖPINGS LÄN</t>
        </is>
      </c>
      <c r="E349" t="inlineStr">
        <is>
          <t>GNOSJÖ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48483-2024</t>
        </is>
      </c>
      <c r="B350" s="1" t="n">
        <v>45592</v>
      </c>
      <c r="C350" s="1" t="n">
        <v>45695</v>
      </c>
      <c r="D350" t="inlineStr">
        <is>
          <t>JÖNKÖPINGS LÄN</t>
        </is>
      </c>
      <c r="E350" t="inlineStr">
        <is>
          <t>GNOSJÖ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49030-2024</t>
        </is>
      </c>
      <c r="B351" s="1" t="n">
        <v>45594</v>
      </c>
      <c r="C351" s="1" t="n">
        <v>45695</v>
      </c>
      <c r="D351" t="inlineStr">
        <is>
          <t>JÖNKÖPINGS LÄN</t>
        </is>
      </c>
      <c r="E351" t="inlineStr">
        <is>
          <t>GNOSJÖ</t>
        </is>
      </c>
      <c r="G351" t="n">
        <v>4.4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49753-2024</t>
        </is>
      </c>
      <c r="B352" s="1" t="n">
        <v>45597</v>
      </c>
      <c r="C352" s="1" t="n">
        <v>45695</v>
      </c>
      <c r="D352" t="inlineStr">
        <is>
          <t>JÖNKÖPINGS LÄN</t>
        </is>
      </c>
      <c r="E352" t="inlineStr">
        <is>
          <t>GNOSJÖ</t>
        </is>
      </c>
      <c r="G352" t="n">
        <v>3.2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49758-2024</t>
        </is>
      </c>
      <c r="B353" s="1" t="n">
        <v>45597</v>
      </c>
      <c r="C353" s="1" t="n">
        <v>45695</v>
      </c>
      <c r="D353" t="inlineStr">
        <is>
          <t>JÖNKÖPINGS LÄN</t>
        </is>
      </c>
      <c r="E353" t="inlineStr">
        <is>
          <t>GNOSJÖ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50010-2024</t>
        </is>
      </c>
      <c r="B354" s="1" t="n">
        <v>45598</v>
      </c>
      <c r="C354" s="1" t="n">
        <v>45695</v>
      </c>
      <c r="D354" t="inlineStr">
        <is>
          <t>JÖNKÖPINGS LÄN</t>
        </is>
      </c>
      <c r="E354" t="inlineStr">
        <is>
          <t>GNOSJÖ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50285-2024</t>
        </is>
      </c>
      <c r="B355" s="1" t="n">
        <v>45600</v>
      </c>
      <c r="C355" s="1" t="n">
        <v>45695</v>
      </c>
      <c r="D355" t="inlineStr">
        <is>
          <t>JÖNKÖPINGS LÄN</t>
        </is>
      </c>
      <c r="E355" t="inlineStr">
        <is>
          <t>GNOSJÖ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50296-2024</t>
        </is>
      </c>
      <c r="B356" s="1" t="n">
        <v>45600</v>
      </c>
      <c r="C356" s="1" t="n">
        <v>45695</v>
      </c>
      <c r="D356" t="inlineStr">
        <is>
          <t>JÖNKÖPINGS LÄN</t>
        </is>
      </c>
      <c r="E356" t="inlineStr">
        <is>
          <t>GNOSJÖ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50304-2024</t>
        </is>
      </c>
      <c r="B357" s="1" t="n">
        <v>45600</v>
      </c>
      <c r="C357" s="1" t="n">
        <v>45695</v>
      </c>
      <c r="D357" t="inlineStr">
        <is>
          <t>JÖNKÖPINGS LÄN</t>
        </is>
      </c>
      <c r="E357" t="inlineStr">
        <is>
          <t>GNOSJÖ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50408-2024</t>
        </is>
      </c>
      <c r="B358" s="1" t="n">
        <v>45601</v>
      </c>
      <c r="C358" s="1" t="n">
        <v>45695</v>
      </c>
      <c r="D358" t="inlineStr">
        <is>
          <t>JÖNKÖPINGS LÄN</t>
        </is>
      </c>
      <c r="E358" t="inlineStr">
        <is>
          <t>GNOSJÖ</t>
        </is>
      </c>
      <c r="G358" t="n">
        <v>6.4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53370-2024</t>
        </is>
      </c>
      <c r="B359" s="1" t="n">
        <v>45614</v>
      </c>
      <c r="C359" s="1" t="n">
        <v>45695</v>
      </c>
      <c r="D359" t="inlineStr">
        <is>
          <t>JÖNKÖPINGS LÄN</t>
        </is>
      </c>
      <c r="E359" t="inlineStr">
        <is>
          <t>GNOSJÖ</t>
        </is>
      </c>
      <c r="G359" t="n">
        <v>3.7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54593-2024</t>
        </is>
      </c>
      <c r="B360" s="1" t="n">
        <v>45617</v>
      </c>
      <c r="C360" s="1" t="n">
        <v>45695</v>
      </c>
      <c r="D360" t="inlineStr">
        <is>
          <t>JÖNKÖPINGS LÄN</t>
        </is>
      </c>
      <c r="E360" t="inlineStr">
        <is>
          <t>GNOSJÖ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54827-2024</t>
        </is>
      </c>
      <c r="B361" s="1" t="n">
        <v>45618</v>
      </c>
      <c r="C361" s="1" t="n">
        <v>45695</v>
      </c>
      <c r="D361" t="inlineStr">
        <is>
          <t>JÖNKÖPINGS LÄN</t>
        </is>
      </c>
      <c r="E361" t="inlineStr">
        <is>
          <t>GNOSJÖ</t>
        </is>
      </c>
      <c r="F361" t="inlineStr">
        <is>
          <t>Kyrkan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54833-2024</t>
        </is>
      </c>
      <c r="B362" s="1" t="n">
        <v>45618</v>
      </c>
      <c r="C362" s="1" t="n">
        <v>45695</v>
      </c>
      <c r="D362" t="inlineStr">
        <is>
          <t>JÖNKÖPINGS LÄN</t>
        </is>
      </c>
      <c r="E362" t="inlineStr">
        <is>
          <t>GNOSJÖ</t>
        </is>
      </c>
      <c r="F362" t="inlineStr">
        <is>
          <t>Kyrkan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54826-2024</t>
        </is>
      </c>
      <c r="B363" s="1" t="n">
        <v>45618</v>
      </c>
      <c r="C363" s="1" t="n">
        <v>45695</v>
      </c>
      <c r="D363" t="inlineStr">
        <is>
          <t>JÖNKÖPINGS LÄN</t>
        </is>
      </c>
      <c r="E363" t="inlineStr">
        <is>
          <t>GNOSJÖ</t>
        </is>
      </c>
      <c r="F363" t="inlineStr">
        <is>
          <t>Kyrkan</t>
        </is>
      </c>
      <c r="G363" t="n">
        <v>3.9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55285-2024</t>
        </is>
      </c>
      <c r="B364" s="1" t="n">
        <v>45621</v>
      </c>
      <c r="C364" s="1" t="n">
        <v>45695</v>
      </c>
      <c r="D364" t="inlineStr">
        <is>
          <t>JÖNKÖPINGS LÄN</t>
        </is>
      </c>
      <c r="E364" t="inlineStr">
        <is>
          <t>GNOSJÖ</t>
        </is>
      </c>
      <c r="F364" t="inlineStr">
        <is>
          <t>Sveaskog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56004-2024</t>
        </is>
      </c>
      <c r="B365" s="1" t="n">
        <v>45623</v>
      </c>
      <c r="C365" s="1" t="n">
        <v>45695</v>
      </c>
      <c r="D365" t="inlineStr">
        <is>
          <t>JÖNKÖPINGS LÄN</t>
        </is>
      </c>
      <c r="E365" t="inlineStr">
        <is>
          <t>GNOSJÖ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56242-2024</t>
        </is>
      </c>
      <c r="B366" s="1" t="n">
        <v>45624</v>
      </c>
      <c r="C366" s="1" t="n">
        <v>45695</v>
      </c>
      <c r="D366" t="inlineStr">
        <is>
          <t>JÖNKÖPINGS LÄN</t>
        </is>
      </c>
      <c r="E366" t="inlineStr">
        <is>
          <t>GNOSJÖ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57385-2024</t>
        </is>
      </c>
      <c r="B367" s="1" t="n">
        <v>45629</v>
      </c>
      <c r="C367" s="1" t="n">
        <v>45695</v>
      </c>
      <c r="D367" t="inlineStr">
        <is>
          <t>JÖNKÖPINGS LÄN</t>
        </is>
      </c>
      <c r="E367" t="inlineStr">
        <is>
          <t>GNOSJÖ</t>
        </is>
      </c>
      <c r="F367" t="inlineStr">
        <is>
          <t>Sveaskog</t>
        </is>
      </c>
      <c r="G367" t="n">
        <v>12.7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58970-2024</t>
        </is>
      </c>
      <c r="B368" s="1" t="n">
        <v>45636</v>
      </c>
      <c r="C368" s="1" t="n">
        <v>45695</v>
      </c>
      <c r="D368" t="inlineStr">
        <is>
          <t>JÖNKÖPINGS LÄN</t>
        </is>
      </c>
      <c r="E368" t="inlineStr">
        <is>
          <t>GNOSJÖ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58962-2024</t>
        </is>
      </c>
      <c r="B369" s="1" t="n">
        <v>45636</v>
      </c>
      <c r="C369" s="1" t="n">
        <v>45695</v>
      </c>
      <c r="D369" t="inlineStr">
        <is>
          <t>JÖNKÖPINGS LÄN</t>
        </is>
      </c>
      <c r="E369" t="inlineStr">
        <is>
          <t>GNOSJÖ</t>
        </is>
      </c>
      <c r="G369" t="n">
        <v>2.9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58971-2024</t>
        </is>
      </c>
      <c r="B370" s="1" t="n">
        <v>45636</v>
      </c>
      <c r="C370" s="1" t="n">
        <v>45695</v>
      </c>
      <c r="D370" t="inlineStr">
        <is>
          <t>JÖNKÖPINGS LÄN</t>
        </is>
      </c>
      <c r="E370" t="inlineStr">
        <is>
          <t>GNOSJÖ</t>
        </is>
      </c>
      <c r="F370" t="inlineStr">
        <is>
          <t>Sveaskog</t>
        </is>
      </c>
      <c r="G370" t="n">
        <v>4.8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58975-2024</t>
        </is>
      </c>
      <c r="B371" s="1" t="n">
        <v>45636</v>
      </c>
      <c r="C371" s="1" t="n">
        <v>45695</v>
      </c>
      <c r="D371" t="inlineStr">
        <is>
          <t>JÖNKÖPINGS LÄN</t>
        </is>
      </c>
      <c r="E371" t="inlineStr">
        <is>
          <t>GNOSJÖ</t>
        </is>
      </c>
      <c r="F371" t="inlineStr">
        <is>
          <t>Sveaskog</t>
        </is>
      </c>
      <c r="G371" t="n">
        <v>4.3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59727-2024</t>
        </is>
      </c>
      <c r="B372" s="1" t="n">
        <v>45639</v>
      </c>
      <c r="C372" s="1" t="n">
        <v>45695</v>
      </c>
      <c r="D372" t="inlineStr">
        <is>
          <t>JÖNKÖPINGS LÄN</t>
        </is>
      </c>
      <c r="E372" t="inlineStr">
        <is>
          <t>GNOSJÖ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60839-2024</t>
        </is>
      </c>
      <c r="B373" s="1" t="n">
        <v>45644</v>
      </c>
      <c r="C373" s="1" t="n">
        <v>45695</v>
      </c>
      <c r="D373" t="inlineStr">
        <is>
          <t>JÖNKÖPINGS LÄN</t>
        </is>
      </c>
      <c r="E373" t="inlineStr">
        <is>
          <t>GNOSJÖ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60859-2024</t>
        </is>
      </c>
      <c r="B374" s="1" t="n">
        <v>45644</v>
      </c>
      <c r="C374" s="1" t="n">
        <v>45695</v>
      </c>
      <c r="D374" t="inlineStr">
        <is>
          <t>JÖNKÖPINGS LÄN</t>
        </is>
      </c>
      <c r="E374" t="inlineStr">
        <is>
          <t>GNOSJÖ</t>
        </is>
      </c>
      <c r="G374" t="n">
        <v>3.1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60715-2024</t>
        </is>
      </c>
      <c r="B375" s="1" t="n">
        <v>45644</v>
      </c>
      <c r="C375" s="1" t="n">
        <v>45695</v>
      </c>
      <c r="D375" t="inlineStr">
        <is>
          <t>JÖNKÖPINGS LÄN</t>
        </is>
      </c>
      <c r="E375" t="inlineStr">
        <is>
          <t>GNOSJÖ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324-2025</t>
        </is>
      </c>
      <c r="B376" s="1" t="n">
        <v>45660</v>
      </c>
      <c r="C376" s="1" t="n">
        <v>45695</v>
      </c>
      <c r="D376" t="inlineStr">
        <is>
          <t>JÖNKÖPINGS LÄN</t>
        </is>
      </c>
      <c r="E376" t="inlineStr">
        <is>
          <t>GNOSJÖ</t>
        </is>
      </c>
      <c r="G376" t="n">
        <v>2.5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5128-2025</t>
        </is>
      </c>
      <c r="B377" s="1" t="n">
        <v>45691</v>
      </c>
      <c r="C377" s="1" t="n">
        <v>45695</v>
      </c>
      <c r="D377" t="inlineStr">
        <is>
          <t>JÖNKÖPINGS LÄN</t>
        </is>
      </c>
      <c r="E377" t="inlineStr">
        <is>
          <t>GNOSJÖ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5820-2025</t>
        </is>
      </c>
      <c r="B378" s="1" t="n">
        <v>45694</v>
      </c>
      <c r="C378" s="1" t="n">
        <v>45695</v>
      </c>
      <c r="D378" t="inlineStr">
        <is>
          <t>JÖNKÖPINGS LÄN</t>
        </is>
      </c>
      <c r="E378" t="inlineStr">
        <is>
          <t>GNOSJÖ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>
      <c r="A379" t="inlineStr">
        <is>
          <t>A 5821-2025</t>
        </is>
      </c>
      <c r="B379" s="1" t="n">
        <v>45694</v>
      </c>
      <c r="C379" s="1" t="n">
        <v>45695</v>
      </c>
      <c r="D379" t="inlineStr">
        <is>
          <t>JÖNKÖPINGS LÄN</t>
        </is>
      </c>
      <c r="E379" t="inlineStr">
        <is>
          <t>GNOSJÖ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2025-02-07T16:13:23Z</dcterms:created>
  <dcterms:modified xmlns:dcterms="http://purl.org/dc/terms/" xmlns:xsi="http://www.w3.org/2001/XMLSchema-instance" xsi:type="dcterms:W3CDTF">2025-02-07T16:13:23Z</dcterms:modified>
</cp:coreProperties>
</file>