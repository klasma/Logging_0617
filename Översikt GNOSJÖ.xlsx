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30078-2022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44757</v>
      </c>
      <c r="E2" s="1" t="n">
        <v>46322</v>
      </c>
      <c r="F2" t="inlineStr">
        <is>
          <t>JÖNKÖPINGS LÄN</t>
        </is>
      </c>
      <c r="G2" t="inlineStr">
        <is>
          <t>GNOSJÖ</t>
        </is>
      </c>
      <c r="I2" t="n">
        <v>1.6</v>
      </c>
      <c r="J2" t="n">
        <v>0</v>
      </c>
      <c r="K2" t="n">
        <v>3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6</v>
      </c>
      <c r="T2" t="n">
        <v>8</v>
      </c>
      <c r="U2" t="n">
        <v>8</v>
      </c>
      <c r="V2" s="2" t="inlineStr">
        <is>
          <t>Liten hornflikmossa
Kattfotslav
Vedtrappmossa
Bronshjon
Stor revmossa
Västlig hakmossa</t>
        </is>
      </c>
      <c r="W2">
        <f>HYPERLINK("https://klasma.github.io/Logging_0617/artfynd/A 30078-2022 artfynd.xlsx", "A 30078-2022")</f>
        <v/>
      </c>
      <c r="X2">
        <f>HYPERLINK("https://klasma.github.io/Logging_0617/kartor/A 30078-2022 karta.png", "A 30078-2022")</f>
        <v/>
      </c>
      <c r="Y2">
        <f>HYPERLINK("https://klasma.github.io/Logging_0617/kartor_geotiff/A 30078-2022 georefererad karta.tif", "A 30078-2022")</f>
        <v/>
      </c>
      <c r="AA2">
        <f>HYPERLINK("https://klasma.github.io/Logging_0617/klagomål/A 30078-2022 FSC-klagomål.docx", "A 30078-2022")</f>
        <v/>
      </c>
      <c r="AB2">
        <f>HYPERLINK("https://klasma.github.io/Logging_0617/klagomålsmail/A 30078-2022 FSC-klagomål mail.docx", "A 30078-2022")</f>
        <v/>
      </c>
      <c r="AC2">
        <f>HYPERLINK("https://klasma.github.io/Logging_0617/tillsyn/A 30078-2022 tillsynsbegäran.docx", "A 30078-2022")</f>
        <v/>
      </c>
      <c r="AD2">
        <f>HYPERLINK("https://klasma.github.io/Logging_0617/tillsynsmail/A 30078-2022 tillsynsbegäran mail.docx", "A 30078-2022")</f>
        <v/>
      </c>
    </row>
    <row r="3" ht="15" customHeight="1">
      <c r="A3" t="inlineStr">
        <is>
          <t>S 45-2026</t>
        </is>
      </c>
      <c r="B3" t="inlineStr">
        <is>
          <t>samrådsanmälan</t>
        </is>
      </c>
      <c r="C3" t="inlineStr">
        <is>
          <t>Askåterföring</t>
        </is>
      </c>
      <c r="D3" s="1" t="n">
        <v>46030</v>
      </c>
      <c r="E3" s="1" t="n">
        <v>46322</v>
      </c>
      <c r="F3" t="inlineStr">
        <is>
          <t>JÖNKÖPINGS LÄN</t>
        </is>
      </c>
      <c r="G3" t="inlineStr">
        <is>
          <t>GNOSJÖ</t>
        </is>
      </c>
      <c r="I3" t="n">
        <v>147.7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3</v>
      </c>
      <c r="R3" t="n">
        <v>2</v>
      </c>
      <c r="S3" t="n">
        <v>4</v>
      </c>
      <c r="T3" t="n">
        <v>6</v>
      </c>
      <c r="U3" t="n">
        <v>0</v>
      </c>
      <c r="V3" s="2" t="inlineStr">
        <is>
          <t>Ask
Sjötåtel
Brunag
Kungsfågel</t>
        </is>
      </c>
      <c r="W3">
        <f>HYPERLINK("https://klasma.github.io/Logging_0617/artfynd/S 45-2026 artfynd.xlsx", "S 45-2026")</f>
        <v/>
      </c>
      <c r="X3">
        <f>HYPERLINK("https://klasma.github.io/Logging_0617/kartor/S 45-2026 karta.png", "S 45-2026")</f>
        <v/>
      </c>
      <c r="Y3">
        <f>HYPERLINK("https://klasma.github.io/Logging_0617/kartor_geotiff/S 45-2026 georefererad karta.tif", "S 45-2026")</f>
        <v/>
      </c>
      <c r="AA3">
        <f>HYPERLINK("https://klasma.github.io/Logging_0617/klagomål/S 45-2026 FSC-klagomål.docx", "S 45-2026")</f>
        <v/>
      </c>
      <c r="AB3">
        <f>HYPERLINK("https://klasma.github.io/Logging_0617/klagomålsmail/S 45-2026 FSC-klagomål mail.docx", "S 45-2026")</f>
        <v/>
      </c>
      <c r="AC3">
        <f>HYPERLINK("https://klasma.github.io/Logging_0617/tillsyn/S 45-2026 tillsynsbegäran.docx", "S 45-2026")</f>
        <v/>
      </c>
      <c r="AD3">
        <f>HYPERLINK("https://klasma.github.io/Logging_0617/tillsynsmail/S 45-2026 tillsynsbegäran mail.docx", "S 45-2026")</f>
        <v/>
      </c>
    </row>
    <row r="4" ht="15" customHeight="1">
      <c r="A4" t="inlineStr">
        <is>
          <t>S 2900-2022</t>
        </is>
      </c>
      <c r="B4" t="inlineStr">
        <is>
          <t>samrådsanmälan</t>
        </is>
      </c>
      <c r="C4" t="inlineStr">
        <is>
          <t>Askåterföring</t>
        </is>
      </c>
      <c r="D4" s="1" t="n">
        <v>44711</v>
      </c>
      <c r="E4" s="1" t="n">
        <v>46322</v>
      </c>
      <c r="F4" t="inlineStr">
        <is>
          <t>JÖNKÖPINGS LÄN</t>
        </is>
      </c>
      <c r="G4" t="inlineStr">
        <is>
          <t>GNOSJÖ</t>
        </is>
      </c>
      <c r="I4" t="n">
        <v>46.4</v>
      </c>
      <c r="J4" t="n">
        <v>0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</v>
      </c>
      <c r="T4" t="n">
        <v>3</v>
      </c>
      <c r="U4" t="n">
        <v>3</v>
      </c>
      <c r="V4" s="2" t="inlineStr">
        <is>
          <t>Brunpudrad nållav
Blåmossa
Stor revmossa</t>
        </is>
      </c>
      <c r="W4">
        <f>HYPERLINK("https://klasma.github.io/Logging_0617/artfynd/S 2900-2022 artfynd.xlsx", "S 2900-2022")</f>
        <v/>
      </c>
      <c r="X4">
        <f>HYPERLINK("https://klasma.github.io/Logging_0617/kartor/S 2900-2022 karta.png", "S 2900-2022")</f>
        <v/>
      </c>
      <c r="Y4">
        <f>HYPERLINK("https://klasma.github.io/Logging_0617/kartor_geotiff/S 2900-2022 georefererad karta.tif", "S 2900-2022")</f>
        <v/>
      </c>
      <c r="AA4">
        <f>HYPERLINK("https://klasma.github.io/Logging_0617/klagomål/S 2900-2022 FSC-klagomål.docx", "S 2900-2022")</f>
        <v/>
      </c>
      <c r="AB4">
        <f>HYPERLINK("https://klasma.github.io/Logging_0617/klagomålsmail/S 2900-2022 FSC-klagomål mail.docx", "S 2900-2022")</f>
        <v/>
      </c>
      <c r="AC4">
        <f>HYPERLINK("https://klasma.github.io/Logging_0617/tillsyn/S 2900-2022 tillsynsbegäran.docx", "S 2900-2022")</f>
        <v/>
      </c>
      <c r="AD4">
        <f>HYPERLINK("https://klasma.github.io/Logging_0617/tillsynsmail/S 2900-2022 tillsynsbegäran mail.docx", "S 2900-2022")</f>
        <v/>
      </c>
    </row>
    <row r="5" ht="15" customHeight="1">
      <c r="A5" t="inlineStr">
        <is>
          <t>A 38355-2023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45161</v>
      </c>
      <c r="E5" s="1" t="n">
        <v>46322</v>
      </c>
      <c r="F5" t="inlineStr">
        <is>
          <t>JÖNKÖPINGS LÄN</t>
        </is>
      </c>
      <c r="G5" t="inlineStr">
        <is>
          <t>GNOSJÖ</t>
        </is>
      </c>
      <c r="I5" t="n">
        <v>11.4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s="2" t="inlineStr">
        <is>
          <t>Mattlummer</t>
        </is>
      </c>
      <c r="W5">
        <f>HYPERLINK("https://klasma.github.io/Logging_0617/artfynd/A 38355-2023 artfynd.xlsx", "A 38355-2023")</f>
        <v/>
      </c>
      <c r="X5">
        <f>HYPERLINK("https://klasma.github.io/Logging_0617/kartor/A 38355-2023 karta.png", "A 38355-2023")</f>
        <v/>
      </c>
      <c r="Y5">
        <f>HYPERLINK("https://klasma.github.io/Logging_0617/kartor_geotiff/A 38355-2023 georefererad karta.tif", "A 38355-2023")</f>
        <v/>
      </c>
      <c r="AA5">
        <f>HYPERLINK("https://klasma.github.io/Logging_0617/klagomål/A 38355-2023 FSC-klagomål.docx", "A 38355-2023")</f>
        <v/>
      </c>
      <c r="AB5">
        <f>HYPERLINK("https://klasma.github.io/Logging_0617/klagomålsmail/A 38355-2023 FSC-klagomål mail.docx", "A 38355-2023")</f>
        <v/>
      </c>
      <c r="AC5">
        <f>HYPERLINK("https://klasma.github.io/Logging_0617/tillsyn/A 38355-2023 tillsynsbegäran.docx", "A 38355-2023")</f>
        <v/>
      </c>
      <c r="AD5">
        <f>HYPERLINK("https://klasma.github.io/Logging_0617/tillsynsmail/A 38355-2023 tillsynsbegäran mail.docx", "A 38355-2023")</f>
        <v/>
      </c>
    </row>
    <row r="6" ht="15" customHeight="1">
      <c r="A6" t="inlineStr">
        <is>
          <t>A 28312-2025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45818</v>
      </c>
      <c r="E6" s="1" t="n">
        <v>46322</v>
      </c>
      <c r="F6" t="inlineStr">
        <is>
          <t>JÖNKÖPINGS LÄN</t>
        </is>
      </c>
      <c r="G6" t="inlineStr">
        <is>
          <t>GNOSJÖ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3</v>
      </c>
      <c r="U6" t="n">
        <v>0</v>
      </c>
      <c r="V6" s="2" t="inlineStr">
        <is>
          <t>Ask</t>
        </is>
      </c>
      <c r="W6">
        <f>HYPERLINK("https://klasma.github.io/Logging_0617/artfynd/A 28312-2025 artfynd.xlsx", "A 28312-2025")</f>
        <v/>
      </c>
      <c r="X6">
        <f>HYPERLINK("https://klasma.github.io/Logging_0617/kartor/A 28312-2025 karta.png", "A 28312-2025")</f>
        <v/>
      </c>
      <c r="Y6">
        <f>HYPERLINK("https://klasma.github.io/Logging_0617/kartor_geotiff/A 28312-2025 georefererad karta.tif", "A 28312-2025")</f>
        <v/>
      </c>
      <c r="AA6">
        <f>HYPERLINK("https://klasma.github.io/Logging_0617/klagomål/A 28312-2025 FSC-klagomål.docx", "A 28312-2025")</f>
        <v/>
      </c>
      <c r="AB6">
        <f>HYPERLINK("https://klasma.github.io/Logging_0617/klagomålsmail/A 28312-2025 FSC-klagomål mail.docx", "A 28312-2025")</f>
        <v/>
      </c>
      <c r="AC6">
        <f>HYPERLINK("https://klasma.github.io/Logging_0617/tillsyn/A 28312-2025 tillsynsbegäran.docx", "A 28312-2025")</f>
        <v/>
      </c>
      <c r="AD6">
        <f>HYPERLINK("https://klasma.github.io/Logging_0617/tillsynsmail/A 28312-2025 tillsynsbegäran mail.docx", "A 28312-2025")</f>
        <v/>
      </c>
    </row>
    <row r="7" ht="15" customHeight="1">
      <c r="A7" t="inlineStr">
        <is>
          <t>A 23612-2022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44721</v>
      </c>
      <c r="E7" s="1" t="n">
        <v>46322</v>
      </c>
      <c r="F7" t="inlineStr">
        <is>
          <t>JÖNKÖPINGS LÄN</t>
        </is>
      </c>
      <c r="G7" t="inlineStr">
        <is>
          <t>GNOSJÖ</t>
        </is>
      </c>
      <c r="I7" t="n">
        <v>4.4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Kungsfågel</t>
        </is>
      </c>
      <c r="W7">
        <f>HYPERLINK("https://klasma.github.io/Logging_0617/artfynd/A 23612-2022 artfynd.xlsx", "A 23612-2022")</f>
        <v/>
      </c>
      <c r="X7">
        <f>HYPERLINK("https://klasma.github.io/Logging_0617/kartor/A 23612-2022 karta.png", "A 23612-2022")</f>
        <v/>
      </c>
      <c r="Y7">
        <f>HYPERLINK("https://klasma.github.io/Logging_0617/kartor_geotiff/A 23612-2022 georefererad karta.tif", "A 23612-2022")</f>
        <v/>
      </c>
      <c r="AA7">
        <f>HYPERLINK("https://klasma.github.io/Logging_0617/klagomål/A 23612-2022 FSC-klagomål.docx", "A 23612-2022")</f>
        <v/>
      </c>
      <c r="AB7">
        <f>HYPERLINK("https://klasma.github.io/Logging_0617/klagomålsmail/A 23612-2022 FSC-klagomål mail.docx", "A 23612-2022")</f>
        <v/>
      </c>
      <c r="AC7">
        <f>HYPERLINK("https://klasma.github.io/Logging_0617/tillsyn/A 23612-2022 tillsynsbegäran.docx", "A 23612-2022")</f>
        <v/>
      </c>
      <c r="AD7">
        <f>HYPERLINK("https://klasma.github.io/Logging_0617/tillsynsmail/A 23612-2022 tillsynsbegäran mail.docx", "A 23612-2022")</f>
        <v/>
      </c>
    </row>
    <row r="8" ht="15" customHeight="1">
      <c r="A8" t="inlineStr">
        <is>
          <t>A 68819-2021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44530</v>
      </c>
      <c r="E8" s="1" t="n">
        <v>46322</v>
      </c>
      <c r="F8" t="inlineStr">
        <is>
          <t>JÖNKÖPINGS LÄN</t>
        </is>
      </c>
      <c r="G8" t="inlineStr">
        <is>
          <t>GNOSJÖ</t>
        </is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43870-2022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44837</v>
      </c>
      <c r="E9" s="1" t="n">
        <v>46322</v>
      </c>
      <c r="F9" t="inlineStr">
        <is>
          <t>JÖNKÖPINGS LÄN</t>
        </is>
      </c>
      <c r="G9" t="inlineStr">
        <is>
          <t>GNOSJÖ</t>
        </is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3418-2022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44585</v>
      </c>
      <c r="E10" s="1" t="n">
        <v>46322</v>
      </c>
      <c r="F10" t="inlineStr">
        <is>
          <t>JÖNKÖPINGS LÄN</t>
        </is>
      </c>
      <c r="G10" t="inlineStr">
        <is>
          <t>GNOSJÖ</t>
        </is>
      </c>
      <c r="H10" t="inlineStr">
        <is>
          <t>Sveaskog</t>
        </is>
      </c>
      <c r="I10" t="n">
        <v>1.4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50444-2022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44866</v>
      </c>
      <c r="E11" s="1" t="n">
        <v>46322</v>
      </c>
      <c r="F11" t="inlineStr">
        <is>
          <t>JÖNKÖPINGS LÄN</t>
        </is>
      </c>
      <c r="G11" t="inlineStr">
        <is>
          <t>GNOSJÖ</t>
        </is>
      </c>
      <c r="I11" t="n">
        <v>0.6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62615-2021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44503</v>
      </c>
      <c r="E12" s="1" t="n">
        <v>46322</v>
      </c>
      <c r="F12" t="inlineStr">
        <is>
          <t>JÖNKÖPINGS LÄN</t>
        </is>
      </c>
      <c r="G12" t="inlineStr">
        <is>
          <t>GNOSJÖ</t>
        </is>
      </c>
      <c r="I12" t="n">
        <v>5.5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20077-2022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44698</v>
      </c>
      <c r="E13" s="1" t="n">
        <v>46322</v>
      </c>
      <c r="F13" t="inlineStr">
        <is>
          <t>JÖNKÖPINGS LÄN</t>
        </is>
      </c>
      <c r="G13" t="inlineStr">
        <is>
          <t>GNOSJÖ</t>
        </is>
      </c>
      <c r="I13" t="n">
        <v>4.5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20080-2022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44698</v>
      </c>
      <c r="E14" s="1" t="n">
        <v>46322</v>
      </c>
      <c r="F14" t="inlineStr">
        <is>
          <t>JÖNKÖPINGS LÄN</t>
        </is>
      </c>
      <c r="G14" t="inlineStr">
        <is>
          <t>GNOSJÖ</t>
        </is>
      </c>
      <c r="I14" t="n">
        <v>1.8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704-2022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44568</v>
      </c>
      <c r="E15" s="1" t="n">
        <v>46322</v>
      </c>
      <c r="F15" t="inlineStr">
        <is>
          <t>JÖNKÖPINGS LÄN</t>
        </is>
      </c>
      <c r="G15" t="inlineStr">
        <is>
          <t>GNOSJÖ</t>
        </is>
      </c>
      <c r="I15" t="n">
        <v>1.1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36525-2022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44804</v>
      </c>
      <c r="E16" s="1" t="n">
        <v>46322</v>
      </c>
      <c r="F16" t="inlineStr">
        <is>
          <t>JÖNKÖPINGS LÄN</t>
        </is>
      </c>
      <c r="G16" t="inlineStr">
        <is>
          <t>GNOSJÖ</t>
        </is>
      </c>
      <c r="I16" t="n">
        <v>1.4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47858-2022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44855</v>
      </c>
      <c r="E17" s="1" t="n">
        <v>46322</v>
      </c>
      <c r="F17" t="inlineStr">
        <is>
          <t>JÖNKÖPINGS LÄN</t>
        </is>
      </c>
      <c r="G17" t="inlineStr">
        <is>
          <t>GNOSJÖ</t>
        </is>
      </c>
      <c r="I17" t="n">
        <v>0.7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28372-2022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44747</v>
      </c>
      <c r="E18" s="1" t="n">
        <v>46322</v>
      </c>
      <c r="F18" t="inlineStr">
        <is>
          <t>JÖNKÖPINGS LÄN</t>
        </is>
      </c>
      <c r="G18" t="inlineStr">
        <is>
          <t>GNOSJÖ</t>
        </is>
      </c>
      <c r="I18" t="n">
        <v>4.3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4298-2022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44588</v>
      </c>
      <c r="E19" s="1" t="n">
        <v>46322</v>
      </c>
      <c r="F19" t="inlineStr">
        <is>
          <t>JÖNKÖPINGS LÄN</t>
        </is>
      </c>
      <c r="G19" t="inlineStr">
        <is>
          <t>GNOSJÖ</t>
        </is>
      </c>
      <c r="I19" t="n">
        <v>1.8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48480-2022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44858</v>
      </c>
      <c r="E20" s="1" t="n">
        <v>46322</v>
      </c>
      <c r="F20" t="inlineStr">
        <is>
          <t>JÖNKÖPINGS LÄN</t>
        </is>
      </c>
      <c r="G20" t="inlineStr">
        <is>
          <t>GNOSJÖ</t>
        </is>
      </c>
      <c r="I20" t="n">
        <v>0.6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13352-2024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45387</v>
      </c>
      <c r="E21" s="1" t="n">
        <v>46322</v>
      </c>
      <c r="F21" t="inlineStr">
        <is>
          <t>JÖNKÖPINGS LÄN</t>
        </is>
      </c>
      <c r="G21" t="inlineStr">
        <is>
          <t>GNOSJÖ</t>
        </is>
      </c>
      <c r="I21" t="n">
        <v>2.1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8698-2025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45712</v>
      </c>
      <c r="E22" s="1" t="n">
        <v>46322</v>
      </c>
      <c r="F22" t="inlineStr">
        <is>
          <t>JÖNKÖPINGS LÄN</t>
        </is>
      </c>
      <c r="G22" t="inlineStr">
        <is>
          <t>GNOSJÖ</t>
        </is>
      </c>
      <c r="I22" t="n">
        <v>1.5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42280-2023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45180</v>
      </c>
      <c r="E23" s="1" t="n">
        <v>46322</v>
      </c>
      <c r="F23" t="inlineStr">
        <is>
          <t>JÖNKÖPINGS LÄN</t>
        </is>
      </c>
      <c r="G23" t="inlineStr">
        <is>
          <t>GNOSJÖ</t>
        </is>
      </c>
      <c r="I23" t="n">
        <v>1.9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46657-2022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44850</v>
      </c>
      <c r="E24" s="1" t="n">
        <v>46322</v>
      </c>
      <c r="F24" t="inlineStr">
        <is>
          <t>JÖNKÖPINGS LÄN</t>
        </is>
      </c>
      <c r="G24" t="inlineStr">
        <is>
          <t>GNOSJÖ</t>
        </is>
      </c>
      <c r="I24" t="n">
        <v>7.9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40552-2025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45896</v>
      </c>
      <c r="E25" s="1" t="n">
        <v>46322</v>
      </c>
      <c r="F25" t="inlineStr">
        <is>
          <t>JÖNKÖPINGS LÄN</t>
        </is>
      </c>
      <c r="G25" t="inlineStr">
        <is>
          <t>GNOSJÖ</t>
        </is>
      </c>
      <c r="I25" t="n">
        <v>1.7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20948-2024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45439</v>
      </c>
      <c r="E26" s="1" t="n">
        <v>46322</v>
      </c>
      <c r="F26" t="inlineStr">
        <is>
          <t>JÖNKÖPINGS LÄN</t>
        </is>
      </c>
      <c r="G26" t="inlineStr">
        <is>
          <t>GNOSJÖ</t>
        </is>
      </c>
      <c r="I26" t="n">
        <v>6.4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5089-2024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45330</v>
      </c>
      <c r="E27" s="1" t="n">
        <v>46322</v>
      </c>
      <c r="F27" t="inlineStr">
        <is>
          <t>JÖNKÖPINGS LÄN</t>
        </is>
      </c>
      <c r="G27" t="inlineStr">
        <is>
          <t>GNOSJÖ</t>
        </is>
      </c>
      <c r="I27" t="n">
        <v>0.9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38510-2025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45884</v>
      </c>
      <c r="E28" s="1" t="n">
        <v>46322</v>
      </c>
      <c r="F28" t="inlineStr">
        <is>
          <t>JÖNKÖPINGS LÄN</t>
        </is>
      </c>
      <c r="G28" t="inlineStr">
        <is>
          <t>GNOSJÖ</t>
        </is>
      </c>
      <c r="I28" t="n">
        <v>2.1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21080-2025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45777</v>
      </c>
      <c r="E29" s="1" t="n">
        <v>46322</v>
      </c>
      <c r="F29" t="inlineStr">
        <is>
          <t>JÖNKÖPINGS LÄN</t>
        </is>
      </c>
      <c r="G29" t="inlineStr">
        <is>
          <t>GNOSJÖ</t>
        </is>
      </c>
      <c r="I29" t="n">
        <v>1.6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43790-2023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45187</v>
      </c>
      <c r="E30" s="1" t="n">
        <v>46322</v>
      </c>
      <c r="F30" t="inlineStr">
        <is>
          <t>JÖNKÖPINGS LÄN</t>
        </is>
      </c>
      <c r="G30" t="inlineStr">
        <is>
          <t>GNOSJÖ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6415-2025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45699</v>
      </c>
      <c r="E31" s="1" t="n">
        <v>46322</v>
      </c>
      <c r="F31" t="inlineStr">
        <is>
          <t>JÖNKÖPINGS LÄN</t>
        </is>
      </c>
      <c r="G31" t="inlineStr">
        <is>
          <t>GNOSJÖ</t>
        </is>
      </c>
      <c r="I31" t="n">
        <v>2.7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42615-2025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45905</v>
      </c>
      <c r="E32" s="1" t="n">
        <v>46322</v>
      </c>
      <c r="F32" t="inlineStr">
        <is>
          <t>JÖNKÖPINGS LÄN</t>
        </is>
      </c>
      <c r="G32" t="inlineStr">
        <is>
          <t>GNOSJÖ</t>
        </is>
      </c>
      <c r="I32" t="n">
        <v>0.6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59026-2023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45252</v>
      </c>
      <c r="E33" s="1" t="n">
        <v>46322</v>
      </c>
      <c r="F33" t="inlineStr">
        <is>
          <t>JÖNKÖPINGS LÄN</t>
        </is>
      </c>
      <c r="G33" t="inlineStr">
        <is>
          <t>GNOSJÖ</t>
        </is>
      </c>
      <c r="I33" t="n">
        <v>2.1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58970-2024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45636</v>
      </c>
      <c r="E34" s="1" t="n">
        <v>46322</v>
      </c>
      <c r="F34" t="inlineStr">
        <is>
          <t>JÖNKÖPINGS LÄN</t>
        </is>
      </c>
      <c r="G34" t="inlineStr">
        <is>
          <t>GNOSJÖ</t>
        </is>
      </c>
      <c r="I34" t="n">
        <v>1.5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23259-2023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45075</v>
      </c>
      <c r="E35" s="1" t="n">
        <v>46322</v>
      </c>
      <c r="F35" t="inlineStr">
        <is>
          <t>JÖNKÖPINGS LÄN</t>
        </is>
      </c>
      <c r="G35" t="inlineStr">
        <is>
          <t>GNOSJÖ</t>
        </is>
      </c>
      <c r="I35" t="n">
        <v>2.8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43637-2025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45911</v>
      </c>
      <c r="E36" s="1" t="n">
        <v>46322</v>
      </c>
      <c r="F36" t="inlineStr">
        <is>
          <t>JÖNKÖPINGS LÄN</t>
        </is>
      </c>
      <c r="G36" t="inlineStr">
        <is>
          <t>GNOSJÖ</t>
        </is>
      </c>
      <c r="I36" t="n">
        <v>4.6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5030-2022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44593</v>
      </c>
      <c r="E37" s="1" t="n">
        <v>46322</v>
      </c>
      <c r="F37" t="inlineStr">
        <is>
          <t>JÖNKÖPINGS LÄN</t>
        </is>
      </c>
      <c r="G37" t="inlineStr">
        <is>
          <t>GNOSJÖ</t>
        </is>
      </c>
      <c r="I37" t="n">
        <v>2.3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62053-2022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44918</v>
      </c>
      <c r="E38" s="1" t="n">
        <v>46322</v>
      </c>
      <c r="F38" t="inlineStr">
        <is>
          <t>JÖNKÖPINGS LÄN</t>
        </is>
      </c>
      <c r="G38" t="inlineStr">
        <is>
          <t>GNOSJÖ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43656-2025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45912</v>
      </c>
      <c r="E39" s="1" t="n">
        <v>46322</v>
      </c>
      <c r="F39" t="inlineStr">
        <is>
          <t>JÖNKÖPINGS LÄN</t>
        </is>
      </c>
      <c r="G39" t="inlineStr">
        <is>
          <t>GNOSJÖ</t>
        </is>
      </c>
      <c r="I39" t="n">
        <v>3.2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44383-2025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45916</v>
      </c>
      <c r="E40" s="1" t="n">
        <v>46322</v>
      </c>
      <c r="F40" t="inlineStr">
        <is>
          <t>JÖNKÖPINGS LÄN</t>
        </is>
      </c>
      <c r="G40" t="inlineStr">
        <is>
          <t>GNOSJÖ</t>
        </is>
      </c>
      <c r="I40" t="n">
        <v>2.3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44394-2025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45916</v>
      </c>
      <c r="E41" s="1" t="n">
        <v>46322</v>
      </c>
      <c r="F41" t="inlineStr">
        <is>
          <t>JÖNKÖPINGS LÄN</t>
        </is>
      </c>
      <c r="G41" t="inlineStr">
        <is>
          <t>GNOSJÖ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6789-2025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45700</v>
      </c>
      <c r="E42" s="1" t="n">
        <v>46322</v>
      </c>
      <c r="F42" t="inlineStr">
        <is>
          <t>JÖNKÖPINGS LÄN</t>
        </is>
      </c>
      <c r="G42" t="inlineStr">
        <is>
          <t>GNOSJÖ</t>
        </is>
      </c>
      <c r="I42" t="n">
        <v>1.4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39668-2023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45167</v>
      </c>
      <c r="E43" s="1" t="n">
        <v>46322</v>
      </c>
      <c r="F43" t="inlineStr">
        <is>
          <t>JÖNKÖPINGS LÄN</t>
        </is>
      </c>
      <c r="G43" t="inlineStr">
        <is>
          <t>GNOSJÖ</t>
        </is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25487-2022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44732</v>
      </c>
      <c r="E44" s="1" t="n">
        <v>46322</v>
      </c>
      <c r="F44" t="inlineStr">
        <is>
          <t>JÖNKÖPINGS LÄN</t>
        </is>
      </c>
      <c r="G44" t="inlineStr">
        <is>
          <t>GNOSJÖ</t>
        </is>
      </c>
      <c r="I44" t="n">
        <v>7.1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6763-2025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45700</v>
      </c>
      <c r="E45" s="1" t="n">
        <v>46322</v>
      </c>
      <c r="F45" t="inlineStr">
        <is>
          <t>JÖNKÖPINGS LÄN</t>
        </is>
      </c>
      <c r="G45" t="inlineStr">
        <is>
          <t>GNOSJÖ</t>
        </is>
      </c>
      <c r="I45" t="n">
        <v>1.6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48188-2022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44853</v>
      </c>
      <c r="E46" s="1" t="n">
        <v>46322</v>
      </c>
      <c r="F46" t="inlineStr">
        <is>
          <t>JÖNKÖPINGS LÄN</t>
        </is>
      </c>
      <c r="G46" t="inlineStr">
        <is>
          <t>GNOSJÖ</t>
        </is>
      </c>
      <c r="I46" t="n">
        <v>3.3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25837-2023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45090</v>
      </c>
      <c r="E47" s="1" t="n">
        <v>46322</v>
      </c>
      <c r="F47" t="inlineStr">
        <is>
          <t>JÖNKÖPINGS LÄN</t>
        </is>
      </c>
      <c r="G47" t="inlineStr">
        <is>
          <t>GNOSJÖ</t>
        </is>
      </c>
      <c r="I47" t="n">
        <v>2.3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13913-2024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45391</v>
      </c>
      <c r="E48" s="1" t="n">
        <v>46322</v>
      </c>
      <c r="F48" t="inlineStr">
        <is>
          <t>JÖNKÖPINGS LÄN</t>
        </is>
      </c>
      <c r="G48" t="inlineStr">
        <is>
          <t>GNOSJÖ</t>
        </is>
      </c>
      <c r="I48" t="n">
        <v>2.2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57730-2023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45246</v>
      </c>
      <c r="E49" s="1" t="n">
        <v>46322</v>
      </c>
      <c r="F49" t="inlineStr">
        <is>
          <t>JÖNKÖPINGS LÄN</t>
        </is>
      </c>
      <c r="G49" t="inlineStr">
        <is>
          <t>GNOSJÖ</t>
        </is>
      </c>
      <c r="I49" t="n">
        <v>1.5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43760-2023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45187</v>
      </c>
      <c r="E50" s="1" t="n">
        <v>46322</v>
      </c>
      <c r="F50" t="inlineStr">
        <is>
          <t>JÖNKÖPINGS LÄN</t>
        </is>
      </c>
      <c r="G50" t="inlineStr">
        <is>
          <t>GNOSJÖ</t>
        </is>
      </c>
      <c r="I50" t="n">
        <v>0.9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43784-2023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45187</v>
      </c>
      <c r="E51" s="1" t="n">
        <v>46322</v>
      </c>
      <c r="F51" t="inlineStr">
        <is>
          <t>JÖNKÖPINGS LÄN</t>
        </is>
      </c>
      <c r="G51" t="inlineStr">
        <is>
          <t>GNOSJÖ</t>
        </is>
      </c>
      <c r="I51" t="n">
        <v>3.8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55909-2022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44889</v>
      </c>
      <c r="E52" s="1" t="n">
        <v>46322</v>
      </c>
      <c r="F52" t="inlineStr">
        <is>
          <t>JÖNKÖPINGS LÄN</t>
        </is>
      </c>
      <c r="G52" t="inlineStr">
        <is>
          <t>GNOSJÖ</t>
        </is>
      </c>
      <c r="I52" t="n">
        <v>1.9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14355-2023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45012</v>
      </c>
      <c r="E53" s="1" t="n">
        <v>46322</v>
      </c>
      <c r="F53" t="inlineStr">
        <is>
          <t>JÖNKÖPINGS LÄN</t>
        </is>
      </c>
      <c r="G53" t="inlineStr">
        <is>
          <t>GNOSJÖ</t>
        </is>
      </c>
      <c r="I53" t="n">
        <v>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30961-2023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45113</v>
      </c>
      <c r="E54" s="1" t="n">
        <v>46322</v>
      </c>
      <c r="F54" t="inlineStr">
        <is>
          <t>JÖNKÖPINGS LÄN</t>
        </is>
      </c>
      <c r="G54" t="inlineStr">
        <is>
          <t>GNOSJÖ</t>
        </is>
      </c>
      <c r="I54" t="n">
        <v>2.7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13610-2024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45390</v>
      </c>
      <c r="E55" s="1" t="n">
        <v>46322</v>
      </c>
      <c r="F55" t="inlineStr">
        <is>
          <t>JÖNKÖPINGS LÄN</t>
        </is>
      </c>
      <c r="G55" t="inlineStr">
        <is>
          <t>GNOSJÖ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40067-2023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45168</v>
      </c>
      <c r="E56" s="1" t="n">
        <v>46322</v>
      </c>
      <c r="F56" t="inlineStr">
        <is>
          <t>JÖNKÖPINGS LÄN</t>
        </is>
      </c>
      <c r="G56" t="inlineStr">
        <is>
          <t>GNOSJÖ</t>
        </is>
      </c>
      <c r="I56" t="n">
        <v>0.6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22650-2024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45447</v>
      </c>
      <c r="E57" s="1" t="n">
        <v>46322</v>
      </c>
      <c r="F57" t="inlineStr">
        <is>
          <t>JÖNKÖPINGS LÄN</t>
        </is>
      </c>
      <c r="G57" t="inlineStr">
        <is>
          <t>GNOSJÖ</t>
        </is>
      </c>
      <c r="I57" t="n">
        <v>7.9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49758-2024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45597</v>
      </c>
      <c r="E58" s="1" t="n">
        <v>46322</v>
      </c>
      <c r="F58" t="inlineStr">
        <is>
          <t>JÖNKÖPINGS LÄN</t>
        </is>
      </c>
      <c r="G58" t="inlineStr">
        <is>
          <t>GNOSJÖ</t>
        </is>
      </c>
      <c r="I58" t="n">
        <v>2.5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50728-2025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45946</v>
      </c>
      <c r="E59" s="1" t="n">
        <v>46322</v>
      </c>
      <c r="F59" t="inlineStr">
        <is>
          <t>JÖNKÖPINGS LÄN</t>
        </is>
      </c>
      <c r="G59" t="inlineStr">
        <is>
          <t>GNOSJÖ</t>
        </is>
      </c>
      <c r="I59" t="n">
        <v>15.2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23625-2022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44721</v>
      </c>
      <c r="E60" s="1" t="n">
        <v>46322</v>
      </c>
      <c r="F60" t="inlineStr">
        <is>
          <t>JÖNKÖPINGS LÄN</t>
        </is>
      </c>
      <c r="G60" t="inlineStr">
        <is>
          <t>GNOSJÖ</t>
        </is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16303-2023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45028</v>
      </c>
      <c r="E61" s="1" t="n">
        <v>46322</v>
      </c>
      <c r="F61" t="inlineStr">
        <is>
          <t>JÖNKÖPINGS LÄN</t>
        </is>
      </c>
      <c r="G61" t="inlineStr">
        <is>
          <t>GNOSJÖ</t>
        </is>
      </c>
      <c r="I61" t="n">
        <v>6.3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5707-2022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44596</v>
      </c>
      <c r="E62" s="1" t="n">
        <v>46322</v>
      </c>
      <c r="F62" t="inlineStr">
        <is>
          <t>JÖNKÖPINGS LÄN</t>
        </is>
      </c>
      <c r="G62" t="inlineStr">
        <is>
          <t>GNOSJÖ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48229-2022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44858</v>
      </c>
      <c r="E63" s="1" t="n">
        <v>46322</v>
      </c>
      <c r="F63" t="inlineStr">
        <is>
          <t>JÖNKÖPINGS LÄN</t>
        </is>
      </c>
      <c r="G63" t="inlineStr">
        <is>
          <t>GNOSJÖ</t>
        </is>
      </c>
      <c r="I63" t="n">
        <v>3.6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27954-2026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46193</v>
      </c>
      <c r="E64" s="1" t="n">
        <v>46322</v>
      </c>
      <c r="F64" t="inlineStr">
        <is>
          <t>JÖNKÖPINGS LÄN</t>
        </is>
      </c>
      <c r="G64" t="inlineStr">
        <is>
          <t>GNOSJÖ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27951-2026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46193</v>
      </c>
      <c r="E65" s="1" t="n">
        <v>46322</v>
      </c>
      <c r="F65" t="inlineStr">
        <is>
          <t>JÖNKÖPINGS LÄN</t>
        </is>
      </c>
      <c r="G65" t="inlineStr">
        <is>
          <t>GNOSJÖ</t>
        </is>
      </c>
      <c r="H65" t="inlineStr">
        <is>
          <t>Kommuner</t>
        </is>
      </c>
      <c r="I65" t="n">
        <v>1.6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8119-2025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45707</v>
      </c>
      <c r="E66" s="1" t="n">
        <v>46322</v>
      </c>
      <c r="F66" t="inlineStr">
        <is>
          <t>JÖNKÖPINGS LÄN</t>
        </is>
      </c>
      <c r="G66" t="inlineStr">
        <is>
          <t>GNOSJÖ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27953-2026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46193</v>
      </c>
      <c r="E67" s="1" t="n">
        <v>46322</v>
      </c>
      <c r="F67" t="inlineStr">
        <is>
          <t>JÖNKÖPINGS LÄN</t>
        </is>
      </c>
      <c r="G67" t="inlineStr">
        <is>
          <t>GNOSJÖ</t>
        </is>
      </c>
      <c r="H67" t="inlineStr">
        <is>
          <t>Kommuner</t>
        </is>
      </c>
      <c r="I67" t="n">
        <v>5.7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270-2023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44928</v>
      </c>
      <c r="E68" s="1" t="n">
        <v>46322</v>
      </c>
      <c r="F68" t="inlineStr">
        <is>
          <t>JÖNKÖPINGS LÄN</t>
        </is>
      </c>
      <c r="G68" t="inlineStr">
        <is>
          <t>GNOSJÖ</t>
        </is>
      </c>
      <c r="I68" t="n">
        <v>1.9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55918-2025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45973</v>
      </c>
      <c r="E69" s="1" t="n">
        <v>46322</v>
      </c>
      <c r="F69" t="inlineStr">
        <is>
          <t>JÖNKÖPINGS LÄN</t>
        </is>
      </c>
      <c r="G69" t="inlineStr">
        <is>
          <t>GNOSJÖ</t>
        </is>
      </c>
      <c r="I69" t="n">
        <v>1.1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28026-2026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46195</v>
      </c>
      <c r="E70" s="1" t="n">
        <v>46322</v>
      </c>
      <c r="F70" t="inlineStr">
        <is>
          <t>JÖNKÖPINGS LÄN</t>
        </is>
      </c>
      <c r="G70" t="inlineStr">
        <is>
          <t>GNOSJÖ</t>
        </is>
      </c>
      <c r="I70" t="n">
        <v>1.9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56240-2025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45974</v>
      </c>
      <c r="E71" s="1" t="n">
        <v>46322</v>
      </c>
      <c r="F71" t="inlineStr">
        <is>
          <t>JÖNKÖPINGS LÄN</t>
        </is>
      </c>
      <c r="G71" t="inlineStr">
        <is>
          <t>GNOSJÖ</t>
        </is>
      </c>
      <c r="I71" t="n">
        <v>3.5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28018-2026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46195</v>
      </c>
      <c r="E72" s="1" t="n">
        <v>46322</v>
      </c>
      <c r="F72" t="inlineStr">
        <is>
          <t>JÖNKÖPINGS LÄN</t>
        </is>
      </c>
      <c r="G72" t="inlineStr">
        <is>
          <t>GNOSJÖ</t>
        </is>
      </c>
      <c r="I72" t="n">
        <v>3.2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18314-2024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45422</v>
      </c>
      <c r="E73" s="1" t="n">
        <v>46322</v>
      </c>
      <c r="F73" t="inlineStr">
        <is>
          <t>JÖNKÖPINGS LÄN</t>
        </is>
      </c>
      <c r="G73" t="inlineStr">
        <is>
          <t>GNOSJÖ</t>
        </is>
      </c>
      <c r="I73" t="n">
        <v>1.3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29707-2024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45485</v>
      </c>
      <c r="E74" s="1" t="n">
        <v>46322</v>
      </c>
      <c r="F74" t="inlineStr">
        <is>
          <t>JÖNKÖPINGS LÄN</t>
        </is>
      </c>
      <c r="G74" t="inlineStr">
        <is>
          <t>GNOSJÖ</t>
        </is>
      </c>
      <c r="I74" t="n">
        <v>7.7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57012-2025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45978</v>
      </c>
      <c r="E75" s="1" t="n">
        <v>46322</v>
      </c>
      <c r="F75" t="inlineStr">
        <is>
          <t>JÖNKÖPINGS LÄN</t>
        </is>
      </c>
      <c r="G75" t="inlineStr">
        <is>
          <t>GNOSJÖ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28058-2026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46195</v>
      </c>
      <c r="E76" s="1" t="n">
        <v>46322</v>
      </c>
      <c r="F76" t="inlineStr">
        <is>
          <t>JÖNKÖPINGS LÄN</t>
        </is>
      </c>
      <c r="G76" t="inlineStr">
        <is>
          <t>GNOSJÖ</t>
        </is>
      </c>
      <c r="I76" t="n">
        <v>1.3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16243-2025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45749</v>
      </c>
      <c r="E77" s="1" t="n">
        <v>46322</v>
      </c>
      <c r="F77" t="inlineStr">
        <is>
          <t>JÖNKÖPINGS LÄN</t>
        </is>
      </c>
      <c r="G77" t="inlineStr">
        <is>
          <t>GNOSJÖ</t>
        </is>
      </c>
      <c r="H77" t="inlineStr">
        <is>
          <t>Kyrkan</t>
        </is>
      </c>
      <c r="I77" t="n">
        <v>2.1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58780-2025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45986</v>
      </c>
      <c r="E78" s="1" t="n">
        <v>46322</v>
      </c>
      <c r="F78" t="inlineStr">
        <is>
          <t>JÖNKÖPINGS LÄN</t>
        </is>
      </c>
      <c r="G78" t="inlineStr">
        <is>
          <t>GNOSJÖ</t>
        </is>
      </c>
      <c r="I78" t="n">
        <v>1.1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24861-2025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45799</v>
      </c>
      <c r="E79" s="1" t="n">
        <v>46322</v>
      </c>
      <c r="F79" t="inlineStr">
        <is>
          <t>JÖNKÖPINGS LÄN</t>
        </is>
      </c>
      <c r="G79" t="inlineStr">
        <is>
          <t>GNOSJÖ</t>
        </is>
      </c>
      <c r="I79" t="n">
        <v>5.6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25482-2025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45802</v>
      </c>
      <c r="E80" s="1" t="n">
        <v>46322</v>
      </c>
      <c r="F80" t="inlineStr">
        <is>
          <t>JÖNKÖPINGS LÄN</t>
        </is>
      </c>
      <c r="G80" t="inlineStr">
        <is>
          <t>GNOSJÖ</t>
        </is>
      </c>
      <c r="I80" t="n">
        <v>8.300000000000001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5082-2024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45330</v>
      </c>
      <c r="E81" s="1" t="n">
        <v>46322</v>
      </c>
      <c r="F81" t="inlineStr">
        <is>
          <t>JÖNKÖPINGS LÄN</t>
        </is>
      </c>
      <c r="G81" t="inlineStr">
        <is>
          <t>GNOSJÖ</t>
        </is>
      </c>
      <c r="I81" t="n">
        <v>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61411-2025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46000</v>
      </c>
      <c r="E82" s="1" t="n">
        <v>46322</v>
      </c>
      <c r="F82" t="inlineStr">
        <is>
          <t>JÖNKÖPINGS LÄN</t>
        </is>
      </c>
      <c r="G82" t="inlineStr">
        <is>
          <t>GNOSJÖ</t>
        </is>
      </c>
      <c r="I82" t="n">
        <v>2.4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61792-2025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46002</v>
      </c>
      <c r="E83" s="1" t="n">
        <v>46322</v>
      </c>
      <c r="F83" t="inlineStr">
        <is>
          <t>JÖNKÖPINGS LÄN</t>
        </is>
      </c>
      <c r="G83" t="inlineStr">
        <is>
          <t>GNOSJÖ</t>
        </is>
      </c>
      <c r="I83" t="n">
        <v>10.6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15436-2024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45401</v>
      </c>
      <c r="E84" s="1" t="n">
        <v>46322</v>
      </c>
      <c r="F84" t="inlineStr">
        <is>
          <t>JÖNKÖPINGS LÄN</t>
        </is>
      </c>
      <c r="G84" t="inlineStr">
        <is>
          <t>GNOSJÖ</t>
        </is>
      </c>
      <c r="I84" t="n">
        <v>2.2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61682-2025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46002</v>
      </c>
      <c r="E85" s="1" t="n">
        <v>46322</v>
      </c>
      <c r="F85" t="inlineStr">
        <is>
          <t>JÖNKÖPINGS LÄN</t>
        </is>
      </c>
      <c r="G85" t="inlineStr">
        <is>
          <t>GNOSJÖ</t>
        </is>
      </c>
      <c r="I85" t="n">
        <v>0.9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61677-2025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46002</v>
      </c>
      <c r="E86" s="1" t="n">
        <v>46322</v>
      </c>
      <c r="F86" t="inlineStr">
        <is>
          <t>JÖNKÖPINGS LÄN</t>
        </is>
      </c>
      <c r="G86" t="inlineStr">
        <is>
          <t>GNOSJÖ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7316-2024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45345</v>
      </c>
      <c r="E87" s="1" t="n">
        <v>46322</v>
      </c>
      <c r="F87" t="inlineStr">
        <is>
          <t>JÖNKÖPINGS LÄN</t>
        </is>
      </c>
      <c r="G87" t="inlineStr">
        <is>
          <t>GNOSJÖ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6781-2022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44602</v>
      </c>
      <c r="E88" s="1" t="n">
        <v>46322</v>
      </c>
      <c r="F88" t="inlineStr">
        <is>
          <t>JÖNKÖPINGS LÄN</t>
        </is>
      </c>
      <c r="G88" t="inlineStr">
        <is>
          <t>GNOSJÖ</t>
        </is>
      </c>
      <c r="I88" t="n">
        <v>3.1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41347-2023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45174</v>
      </c>
      <c r="E89" s="1" t="n">
        <v>46322</v>
      </c>
      <c r="F89" t="inlineStr">
        <is>
          <t>JÖNKÖPINGS LÄN</t>
        </is>
      </c>
      <c r="G89" t="inlineStr">
        <is>
          <t>GNOSJÖ</t>
        </is>
      </c>
      <c r="I89" t="n">
        <v>6.2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63511-2025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46013</v>
      </c>
      <c r="E90" s="1" t="n">
        <v>46322</v>
      </c>
      <c r="F90" t="inlineStr">
        <is>
          <t>JÖNKÖPINGS LÄN</t>
        </is>
      </c>
      <c r="G90" t="inlineStr">
        <is>
          <t>GNOSJÖ</t>
        </is>
      </c>
      <c r="I90" t="n">
        <v>4.8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63220-2025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46010</v>
      </c>
      <c r="E91" s="1" t="n">
        <v>46322</v>
      </c>
      <c r="F91" t="inlineStr">
        <is>
          <t>JÖNKÖPINGS LÄN</t>
        </is>
      </c>
      <c r="G91" t="inlineStr">
        <is>
          <t>GNOSJÖ</t>
        </is>
      </c>
      <c r="I91" t="n">
        <v>1.8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50440-2022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44866</v>
      </c>
      <c r="E92" s="1" t="n">
        <v>46322</v>
      </c>
      <c r="F92" t="inlineStr">
        <is>
          <t>JÖNKÖPINGS LÄN</t>
        </is>
      </c>
      <c r="G92" t="inlineStr">
        <is>
          <t>GNOSJÖ</t>
        </is>
      </c>
      <c r="I92" t="n">
        <v>8.699999999999999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4992-2023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44958</v>
      </c>
      <c r="E93" s="1" t="n">
        <v>46322</v>
      </c>
      <c r="F93" t="inlineStr">
        <is>
          <t>JÖNKÖPINGS LÄN</t>
        </is>
      </c>
      <c r="G93" t="inlineStr">
        <is>
          <t>GNOSJÖ</t>
        </is>
      </c>
      <c r="I93" t="n">
        <v>2.9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30654-2025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45831</v>
      </c>
      <c r="E94" s="1" t="n">
        <v>46322</v>
      </c>
      <c r="F94" t="inlineStr">
        <is>
          <t>JÖNKÖPINGS LÄN</t>
        </is>
      </c>
      <c r="G94" t="inlineStr">
        <is>
          <t>GNOSJÖ</t>
        </is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30669-2025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45831</v>
      </c>
      <c r="E95" s="1" t="n">
        <v>46322</v>
      </c>
      <c r="F95" t="inlineStr">
        <is>
          <t>JÖNKÖPINGS LÄN</t>
        </is>
      </c>
      <c r="G95" t="inlineStr">
        <is>
          <t>GNOSJÖ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31228-2025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45832</v>
      </c>
      <c r="E96" s="1" t="n">
        <v>46322</v>
      </c>
      <c r="F96" t="inlineStr">
        <is>
          <t>JÖNKÖPINGS LÄN</t>
        </is>
      </c>
      <c r="G96" t="inlineStr">
        <is>
          <t>GNOSJÖ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31235-2025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45832</v>
      </c>
      <c r="E97" s="1" t="n">
        <v>46322</v>
      </c>
      <c r="F97" t="inlineStr">
        <is>
          <t>JÖNKÖPINGS LÄN</t>
        </is>
      </c>
      <c r="G97" t="inlineStr">
        <is>
          <t>GNOSJÖ</t>
        </is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27675-2025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45813</v>
      </c>
      <c r="E98" s="1" t="n">
        <v>46322</v>
      </c>
      <c r="F98" t="inlineStr">
        <is>
          <t>JÖNKÖPINGS LÄN</t>
        </is>
      </c>
      <c r="G98" t="inlineStr">
        <is>
          <t>GNOSJÖ</t>
        </is>
      </c>
      <c r="I98" t="n">
        <v>3.1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1664-2026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46034</v>
      </c>
      <c r="E99" s="1" t="n">
        <v>46322</v>
      </c>
      <c r="F99" t="inlineStr">
        <is>
          <t>JÖNKÖPINGS LÄN</t>
        </is>
      </c>
      <c r="G99" t="inlineStr">
        <is>
          <t>GNOSJÖ</t>
        </is>
      </c>
      <c r="I99" t="n">
        <v>1.7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36508-2022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44804</v>
      </c>
      <c r="E100" s="1" t="n">
        <v>46322</v>
      </c>
      <c r="F100" t="inlineStr">
        <is>
          <t>JÖNKÖPINGS LÄN</t>
        </is>
      </c>
      <c r="G100" t="inlineStr">
        <is>
          <t>GNOSJÖ</t>
        </is>
      </c>
      <c r="I100" t="n">
        <v>2.7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30101-2024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45489</v>
      </c>
      <c r="E101" s="1" t="n">
        <v>46322</v>
      </c>
      <c r="F101" t="inlineStr">
        <is>
          <t>JÖNKÖPINGS LÄN</t>
        </is>
      </c>
      <c r="G101" t="inlineStr">
        <is>
          <t>GNOSJÖ</t>
        </is>
      </c>
      <c r="I101" t="n">
        <v>1.7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27036-2023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45095</v>
      </c>
      <c r="E102" s="1" t="n">
        <v>46322</v>
      </c>
      <c r="F102" t="inlineStr">
        <is>
          <t>JÖNKÖPINGS LÄN</t>
        </is>
      </c>
      <c r="G102" t="inlineStr">
        <is>
          <t>GNOSJÖ</t>
        </is>
      </c>
      <c r="I102" t="n">
        <v>1.6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33575-2022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44789</v>
      </c>
      <c r="E103" s="1" t="n">
        <v>46322</v>
      </c>
      <c r="F103" t="inlineStr">
        <is>
          <t>JÖNKÖPINGS LÄN</t>
        </is>
      </c>
      <c r="G103" t="inlineStr">
        <is>
          <t>GNOSJÖ</t>
        </is>
      </c>
      <c r="I103" t="n">
        <v>2.4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37198-2025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45875</v>
      </c>
      <c r="E104" s="1" t="n">
        <v>46322</v>
      </c>
      <c r="F104" t="inlineStr">
        <is>
          <t>JÖNKÖPINGS LÄN</t>
        </is>
      </c>
      <c r="G104" t="inlineStr">
        <is>
          <t>GNOSJÖ</t>
        </is>
      </c>
      <c r="I104" t="n">
        <v>3.7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30160-2026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46206</v>
      </c>
      <c r="E105" s="1" t="n">
        <v>46322</v>
      </c>
      <c r="F105" t="inlineStr">
        <is>
          <t>JÖNKÖPINGS LÄN</t>
        </is>
      </c>
      <c r="G105" t="inlineStr">
        <is>
          <t>GNOSJÖ</t>
        </is>
      </c>
      <c r="I105" t="n">
        <v>1.6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11157-2024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45371</v>
      </c>
      <c r="E106" s="1" t="n">
        <v>46322</v>
      </c>
      <c r="F106" t="inlineStr">
        <is>
          <t>JÖNKÖPINGS LÄN</t>
        </is>
      </c>
      <c r="G106" t="inlineStr">
        <is>
          <t>GNOSJÖ</t>
        </is>
      </c>
      <c r="I106" t="n">
        <v>3.1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11163-2024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45371</v>
      </c>
      <c r="E107" s="1" t="n">
        <v>46322</v>
      </c>
      <c r="F107" t="inlineStr">
        <is>
          <t>JÖNKÖPINGS LÄN</t>
        </is>
      </c>
      <c r="G107" t="inlineStr">
        <is>
          <t>GNOSJÖ</t>
        </is>
      </c>
      <c r="I107" t="n">
        <v>1.9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58779-2025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45986</v>
      </c>
      <c r="E108" s="1" t="n">
        <v>46322</v>
      </c>
      <c r="F108" t="inlineStr">
        <is>
          <t>JÖNKÖPINGS LÄN</t>
        </is>
      </c>
      <c r="G108" t="inlineStr">
        <is>
          <t>GNOSJÖ</t>
        </is>
      </c>
      <c r="I108" t="n">
        <v>1.7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31772-2023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45118</v>
      </c>
      <c r="E109" s="1" t="n">
        <v>46322</v>
      </c>
      <c r="F109" t="inlineStr">
        <is>
          <t>JÖNKÖPINGS LÄN</t>
        </is>
      </c>
      <c r="G109" t="inlineStr">
        <is>
          <t>GNOSJÖ</t>
        </is>
      </c>
      <c r="I109" t="n">
        <v>1.3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9641-2026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46070</v>
      </c>
      <c r="E110" s="1" t="n">
        <v>46322</v>
      </c>
      <c r="F110" t="inlineStr">
        <is>
          <t>JÖNKÖPINGS LÄN</t>
        </is>
      </c>
      <c r="G110" t="inlineStr">
        <is>
          <t>GNOSJÖ</t>
        </is>
      </c>
      <c r="H110" t="inlineStr">
        <is>
          <t>Kyrkan</t>
        </is>
      </c>
      <c r="I110" t="n">
        <v>0.6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30314-2024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45490</v>
      </c>
      <c r="E111" s="1" t="n">
        <v>46322</v>
      </c>
      <c r="F111" t="inlineStr">
        <is>
          <t>JÖNKÖPINGS LÄN</t>
        </is>
      </c>
      <c r="G111" t="inlineStr">
        <is>
          <t>GNOSJÖ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9624-2026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46070</v>
      </c>
      <c r="E112" s="1" t="n">
        <v>46322</v>
      </c>
      <c r="F112" t="inlineStr">
        <is>
          <t>JÖNKÖPINGS LÄN</t>
        </is>
      </c>
      <c r="G112" t="inlineStr">
        <is>
          <t>GNOSJÖ</t>
        </is>
      </c>
      <c r="H112" t="inlineStr">
        <is>
          <t>Kyrkan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9627-2026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46070</v>
      </c>
      <c r="E113" s="1" t="n">
        <v>46322</v>
      </c>
      <c r="F113" t="inlineStr">
        <is>
          <t>JÖNKÖPINGS LÄN</t>
        </is>
      </c>
      <c r="G113" t="inlineStr">
        <is>
          <t>GNOSJÖ</t>
        </is>
      </c>
      <c r="H113" t="inlineStr">
        <is>
          <t>Kyrkan</t>
        </is>
      </c>
      <c r="I113" t="n">
        <v>1.6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64481-2023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45280</v>
      </c>
      <c r="E114" s="1" t="n">
        <v>46322</v>
      </c>
      <c r="F114" t="inlineStr">
        <is>
          <t>JÖNKÖPINGS LÄN</t>
        </is>
      </c>
      <c r="G114" t="inlineStr">
        <is>
          <t>GNOSJÖ</t>
        </is>
      </c>
      <c r="I114" t="n">
        <v>5.5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32177-2024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45511</v>
      </c>
      <c r="E115" s="1" t="n">
        <v>46322</v>
      </c>
      <c r="F115" t="inlineStr">
        <is>
          <t>JÖNKÖPINGS LÄN</t>
        </is>
      </c>
      <c r="G115" t="inlineStr">
        <is>
          <t>GNOSJÖ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11667-2026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46084</v>
      </c>
      <c r="E116" s="1" t="n">
        <v>46322</v>
      </c>
      <c r="F116" t="inlineStr">
        <is>
          <t>JÖNKÖPINGS LÄN</t>
        </is>
      </c>
      <c r="G116" t="inlineStr">
        <is>
          <t>GNOSJÖ</t>
        </is>
      </c>
      <c r="I116" t="n">
        <v>1.4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60859-2024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45644</v>
      </c>
      <c r="E117" s="1" t="n">
        <v>46322</v>
      </c>
      <c r="F117" t="inlineStr">
        <is>
          <t>JÖNKÖPINGS LÄN</t>
        </is>
      </c>
      <c r="G117" t="inlineStr">
        <is>
          <t>GNOSJÖ</t>
        </is>
      </c>
      <c r="I117" t="n">
        <v>3.1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55074-2023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45237</v>
      </c>
      <c r="E118" s="1" t="n">
        <v>46322</v>
      </c>
      <c r="F118" t="inlineStr">
        <is>
          <t>JÖNKÖPINGS LÄN</t>
        </is>
      </c>
      <c r="G118" t="inlineStr">
        <is>
          <t>GNOSJÖ</t>
        </is>
      </c>
      <c r="I118" t="n">
        <v>0.9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31983-2026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46232</v>
      </c>
      <c r="E119" s="1" t="n">
        <v>46322</v>
      </c>
      <c r="F119" t="inlineStr">
        <is>
          <t>JÖNKÖPINGS LÄN</t>
        </is>
      </c>
      <c r="G119" t="inlineStr">
        <is>
          <t>GNOSJÖ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5818-2023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44963</v>
      </c>
      <c r="E120" s="1" t="n">
        <v>46322</v>
      </c>
      <c r="F120" t="inlineStr">
        <is>
          <t>JÖNKÖPINGS LÄN</t>
        </is>
      </c>
      <c r="G120" t="inlineStr">
        <is>
          <t>GNOSJÖ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13600-2026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46097</v>
      </c>
      <c r="E121" s="1" t="n">
        <v>46322</v>
      </c>
      <c r="F121" t="inlineStr">
        <is>
          <t>JÖNKÖPINGS LÄN</t>
        </is>
      </c>
      <c r="G121" t="inlineStr">
        <is>
          <t>GNOSJÖ</t>
        </is>
      </c>
      <c r="H121" t="inlineStr">
        <is>
          <t>Kyrkan</t>
        </is>
      </c>
      <c r="I121" t="n">
        <v>2.9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62045-2022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44918</v>
      </c>
      <c r="E122" s="1" t="n">
        <v>46322</v>
      </c>
      <c r="F122" t="inlineStr">
        <is>
          <t>JÖNKÖPINGS LÄN</t>
        </is>
      </c>
      <c r="G122" t="inlineStr">
        <is>
          <t>GNOSJÖ</t>
        </is>
      </c>
      <c r="I122" t="n">
        <v>2.4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40244-2024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45554</v>
      </c>
      <c r="E123" s="1" t="n">
        <v>46322</v>
      </c>
      <c r="F123" t="inlineStr">
        <is>
          <t>JÖNKÖPINGS LÄN</t>
        </is>
      </c>
      <c r="G123" t="inlineStr">
        <is>
          <t>GNOSJÖ</t>
        </is>
      </c>
      <c r="I123" t="n">
        <v>0.9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41323-2022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44826</v>
      </c>
      <c r="E124" s="1" t="n">
        <v>46322</v>
      </c>
      <c r="F124" t="inlineStr">
        <is>
          <t>JÖNKÖPINGS LÄN</t>
        </is>
      </c>
      <c r="G124" t="inlineStr">
        <is>
          <t>GNOSJÖ</t>
        </is>
      </c>
      <c r="I124" t="n">
        <v>1.1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4293-2022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44588</v>
      </c>
      <c r="E125" s="1" t="n">
        <v>46322</v>
      </c>
      <c r="F125" t="inlineStr">
        <is>
          <t>JÖNKÖPINGS LÄN</t>
        </is>
      </c>
      <c r="G125" t="inlineStr">
        <is>
          <t>GNOSJÖ</t>
        </is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27264-2023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45096</v>
      </c>
      <c r="E126" s="1" t="n">
        <v>46322</v>
      </c>
      <c r="F126" t="inlineStr">
        <is>
          <t>JÖNKÖPINGS LÄN</t>
        </is>
      </c>
      <c r="G126" t="inlineStr">
        <is>
          <t>GNOSJÖ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27952-2026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46193</v>
      </c>
      <c r="E127" s="1" t="n">
        <v>46322</v>
      </c>
      <c r="F127" t="inlineStr">
        <is>
          <t>JÖNKÖPINGS LÄN</t>
        </is>
      </c>
      <c r="G127" t="inlineStr">
        <is>
          <t>GNOSJÖ</t>
        </is>
      </c>
      <c r="H127" t="inlineStr">
        <is>
          <t>Kommuner</t>
        </is>
      </c>
      <c r="I127" t="n">
        <v>8.5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17402-2026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46120</v>
      </c>
      <c r="E128" s="1" t="n">
        <v>46322</v>
      </c>
      <c r="F128" t="inlineStr">
        <is>
          <t>JÖNKÖPINGS LÄN</t>
        </is>
      </c>
      <c r="G128" t="inlineStr">
        <is>
          <t>GNOSJÖ</t>
        </is>
      </c>
      <c r="I128" t="n">
        <v>2.3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18473-2026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46127</v>
      </c>
      <c r="E129" s="1" t="n">
        <v>46322</v>
      </c>
      <c r="F129" t="inlineStr">
        <is>
          <t>JÖNKÖPINGS LÄN</t>
        </is>
      </c>
      <c r="G129" t="inlineStr">
        <is>
          <t>GNOSJÖ</t>
        </is>
      </c>
      <c r="I129" t="n">
        <v>1.2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19171-2026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46132</v>
      </c>
      <c r="E130" s="1" t="n">
        <v>46322</v>
      </c>
      <c r="F130" t="inlineStr">
        <is>
          <t>JÖNKÖPINGS LÄN</t>
        </is>
      </c>
      <c r="G130" t="inlineStr">
        <is>
          <t>GNOSJÖ</t>
        </is>
      </c>
      <c r="I130" t="n">
        <v>22.2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58356-2022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44893</v>
      </c>
      <c r="E131" s="1" t="n">
        <v>46322</v>
      </c>
      <c r="F131" t="inlineStr">
        <is>
          <t>JÖNKÖPINGS LÄN</t>
        </is>
      </c>
      <c r="G131" t="inlineStr">
        <is>
          <t>GNOSJÖ</t>
        </is>
      </c>
      <c r="I131" t="n">
        <v>2.5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20078-2022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44698</v>
      </c>
      <c r="E132" s="1" t="n">
        <v>46322</v>
      </c>
      <c r="F132" t="inlineStr">
        <is>
          <t>JÖNKÖPINGS LÄN</t>
        </is>
      </c>
      <c r="G132" t="inlineStr">
        <is>
          <t>GNOSJÖ</t>
        </is>
      </c>
      <c r="I132" t="n">
        <v>1.7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37864-2025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45881</v>
      </c>
      <c r="E133" s="1" t="n">
        <v>46322</v>
      </c>
      <c r="F133" t="inlineStr">
        <is>
          <t>JÖNKÖPINGS LÄN</t>
        </is>
      </c>
      <c r="G133" t="inlineStr">
        <is>
          <t>GNOSJÖ</t>
        </is>
      </c>
      <c r="I133" t="n">
        <v>3.8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54833-2024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45618</v>
      </c>
      <c r="E134" s="1" t="n">
        <v>46322</v>
      </c>
      <c r="F134" t="inlineStr">
        <is>
          <t>JÖNKÖPINGS LÄN</t>
        </is>
      </c>
      <c r="G134" t="inlineStr">
        <is>
          <t>GNOSJÖ</t>
        </is>
      </c>
      <c r="H134" t="inlineStr">
        <is>
          <t>Kyrkan</t>
        </is>
      </c>
      <c r="I134" t="n">
        <v>1.6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38885-2026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46286</v>
      </c>
      <c r="E135" s="1" t="n">
        <v>46322</v>
      </c>
      <c r="F135" t="inlineStr">
        <is>
          <t>JÖNKÖPINGS LÄN</t>
        </is>
      </c>
      <c r="G135" t="inlineStr">
        <is>
          <t>GNOSJÖ</t>
        </is>
      </c>
      <c r="I135" t="n">
        <v>3.5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35325-2023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45146</v>
      </c>
      <c r="E136" s="1" t="n">
        <v>46322</v>
      </c>
      <c r="F136" t="inlineStr">
        <is>
          <t>JÖNKÖPINGS LÄN</t>
        </is>
      </c>
      <c r="G136" t="inlineStr">
        <is>
          <t>GNOSJÖ</t>
        </is>
      </c>
      <c r="I136" t="n">
        <v>0.7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73961-2021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44553</v>
      </c>
      <c r="E137" s="1" t="n">
        <v>46322</v>
      </c>
      <c r="F137" t="inlineStr">
        <is>
          <t>JÖNKÖPINGS LÄN</t>
        </is>
      </c>
      <c r="G137" t="inlineStr">
        <is>
          <t>GNOSJÖ</t>
        </is>
      </c>
      <c r="H137" t="inlineStr">
        <is>
          <t>Sveaskog</t>
        </is>
      </c>
      <c r="I137" t="n">
        <v>5.1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38886-2026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46286</v>
      </c>
      <c r="E138" s="1" t="n">
        <v>46322</v>
      </c>
      <c r="F138" t="inlineStr">
        <is>
          <t>JÖNKÖPINGS LÄN</t>
        </is>
      </c>
      <c r="G138" t="inlineStr">
        <is>
          <t>GNOSJÖ</t>
        </is>
      </c>
      <c r="I138" t="n">
        <v>1.5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61532-2023</t>
        </is>
      </c>
      <c r="B139" t="inlineStr">
        <is>
          <t>avverkningsanmälan</t>
        </is>
      </c>
      <c r="C139" t="inlineStr">
        <is>
          <t>Avverkning för att bevara och utveckla /försöksver</t>
        </is>
      </c>
      <c r="D139" s="1" t="n">
        <v>45265</v>
      </c>
      <c r="E139" s="1" t="n">
        <v>46322</v>
      </c>
      <c r="F139" t="inlineStr">
        <is>
          <t>JÖNKÖPINGS LÄN</t>
        </is>
      </c>
      <c r="G139" t="inlineStr">
        <is>
          <t>GNOSJÖ</t>
        </is>
      </c>
      <c r="H139" t="inlineStr">
        <is>
          <t>Sveaskog</t>
        </is>
      </c>
      <c r="I139" t="n">
        <v>1.7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32913-2026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46244</v>
      </c>
      <c r="E140" s="1" t="n">
        <v>46322</v>
      </c>
      <c r="F140" t="inlineStr">
        <is>
          <t>JÖNKÖPINGS LÄN</t>
        </is>
      </c>
      <c r="G140" t="inlineStr">
        <is>
          <t>GNOSJÖ</t>
        </is>
      </c>
      <c r="I140" t="n">
        <v>2.7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32903-2026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46244</v>
      </c>
      <c r="E141" s="1" t="n">
        <v>46322</v>
      </c>
      <c r="F141" t="inlineStr">
        <is>
          <t>JÖNKÖPINGS LÄN</t>
        </is>
      </c>
      <c r="G141" t="inlineStr">
        <is>
          <t>GNOSJÖ</t>
        </is>
      </c>
      <c r="I141" t="n">
        <v>0.9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27258-2023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45096</v>
      </c>
      <c r="E142" s="1" t="n">
        <v>46322</v>
      </c>
      <c r="F142" t="inlineStr">
        <is>
          <t>JÖNKÖPINGS LÄN</t>
        </is>
      </c>
      <c r="G142" t="inlineStr">
        <is>
          <t>GNOSJÖ</t>
        </is>
      </c>
      <c r="I142" t="n">
        <v>2.5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36905-2024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45538</v>
      </c>
      <c r="E143" s="1" t="n">
        <v>46322</v>
      </c>
      <c r="F143" t="inlineStr">
        <is>
          <t>JÖNKÖPINGS LÄN</t>
        </is>
      </c>
      <c r="G143" t="inlineStr">
        <is>
          <t>GNOSJÖ</t>
        </is>
      </c>
      <c r="I143" t="n">
        <v>2.9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29066-2022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44750</v>
      </c>
      <c r="E144" s="1" t="n">
        <v>46322</v>
      </c>
      <c r="F144" t="inlineStr">
        <is>
          <t>JÖNKÖPINGS LÄN</t>
        </is>
      </c>
      <c r="G144" t="inlineStr">
        <is>
          <t>GNOSJÖ</t>
        </is>
      </c>
      <c r="I144" t="n">
        <v>4.8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21076-2025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45777</v>
      </c>
      <c r="E145" s="1" t="n">
        <v>46322</v>
      </c>
      <c r="F145" t="inlineStr">
        <is>
          <t>JÖNKÖPINGS LÄN</t>
        </is>
      </c>
      <c r="G145" t="inlineStr">
        <is>
          <t>GNOSJÖ</t>
        </is>
      </c>
      <c r="I145" t="n">
        <v>2.6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3504-2023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44950</v>
      </c>
      <c r="E146" s="1" t="n">
        <v>46322</v>
      </c>
      <c r="F146" t="inlineStr">
        <is>
          <t>JÖNKÖPINGS LÄN</t>
        </is>
      </c>
      <c r="G146" t="inlineStr">
        <is>
          <t>GNOSJÖ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37963-2024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45544</v>
      </c>
      <c r="E147" s="1" t="n">
        <v>46322</v>
      </c>
      <c r="F147" t="inlineStr">
        <is>
          <t>JÖNKÖPINGS LÄN</t>
        </is>
      </c>
      <c r="G147" t="inlineStr">
        <is>
          <t>GNOSJÖ</t>
        </is>
      </c>
      <c r="I147" t="n">
        <v>5.3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9828-2025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45716</v>
      </c>
      <c r="E148" s="1" t="n">
        <v>46322</v>
      </c>
      <c r="F148" t="inlineStr">
        <is>
          <t>JÖNKÖPINGS LÄN</t>
        </is>
      </c>
      <c r="G148" t="inlineStr">
        <is>
          <t>GNOSJÖ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3987-2024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45322</v>
      </c>
      <c r="E149" s="1" t="n">
        <v>46322</v>
      </c>
      <c r="F149" t="inlineStr">
        <is>
          <t>JÖNKÖPINGS LÄN</t>
        </is>
      </c>
      <c r="G149" t="inlineStr">
        <is>
          <t>GNOSJÖ</t>
        </is>
      </c>
      <c r="I149" t="n">
        <v>2.5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36653-2022</t>
        </is>
      </c>
      <c r="B150" t="inlineStr">
        <is>
          <t>avverkningsanmälan</t>
        </is>
      </c>
      <c r="C150" t="inlineStr">
        <is>
          <t>Avverkning för annat ändamål</t>
        </is>
      </c>
      <c r="D150" s="1" t="n">
        <v>44804</v>
      </c>
      <c r="E150" s="1" t="n">
        <v>46322</v>
      </c>
      <c r="F150" t="inlineStr">
        <is>
          <t>JÖNKÖPINGS LÄN</t>
        </is>
      </c>
      <c r="G150" t="inlineStr">
        <is>
          <t>GNOSJÖ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42618-2025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45905</v>
      </c>
      <c r="E151" s="1" t="n">
        <v>46322</v>
      </c>
      <c r="F151" t="inlineStr">
        <is>
          <t>JÖNKÖPINGS LÄN</t>
        </is>
      </c>
      <c r="G151" t="inlineStr">
        <is>
          <t>GNOSJÖ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23254-2023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45075</v>
      </c>
      <c r="E152" s="1" t="n">
        <v>46322</v>
      </c>
      <c r="F152" t="inlineStr">
        <is>
          <t>JÖNKÖPINGS LÄN</t>
        </is>
      </c>
      <c r="G152" t="inlineStr">
        <is>
          <t>GNOSJÖ</t>
        </is>
      </c>
      <c r="I152" t="n">
        <v>1.4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39453-2026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46288</v>
      </c>
      <c r="E153" s="1" t="n">
        <v>46322</v>
      </c>
      <c r="F153" t="inlineStr">
        <is>
          <t>JÖNKÖPINGS LÄN</t>
        </is>
      </c>
      <c r="G153" t="inlineStr">
        <is>
          <t>GNOSJÖ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64718-2023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45281</v>
      </c>
      <c r="E154" s="1" t="n">
        <v>46322</v>
      </c>
      <c r="F154" t="inlineStr">
        <is>
          <t>JÖNKÖPINGS LÄN</t>
        </is>
      </c>
      <c r="G154" t="inlineStr">
        <is>
          <t>GNOSJÖ</t>
        </is>
      </c>
      <c r="I154" t="n">
        <v>4.4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47454-2023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45202</v>
      </c>
      <c r="E155" s="1" t="n">
        <v>46322</v>
      </c>
      <c r="F155" t="inlineStr">
        <is>
          <t>JÖNKÖPINGS LÄN</t>
        </is>
      </c>
      <c r="G155" t="inlineStr">
        <is>
          <t>GNOSJÖ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34083-2023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45125</v>
      </c>
      <c r="E156" s="1" t="n">
        <v>46322</v>
      </c>
      <c r="F156" t="inlineStr">
        <is>
          <t>JÖNKÖPINGS LÄN</t>
        </is>
      </c>
      <c r="G156" t="inlineStr">
        <is>
          <t>GNOSJÖ</t>
        </is>
      </c>
      <c r="I156" t="n">
        <v>2.6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6785-2025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45700</v>
      </c>
      <c r="E157" s="1" t="n">
        <v>46322</v>
      </c>
      <c r="F157" t="inlineStr">
        <is>
          <t>JÖNKÖPINGS LÄN</t>
        </is>
      </c>
      <c r="G157" t="inlineStr">
        <is>
          <t>GNOSJÖ</t>
        </is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6793-2025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45700</v>
      </c>
      <c r="E158" s="1" t="n">
        <v>46322</v>
      </c>
      <c r="F158" t="inlineStr">
        <is>
          <t>JÖNKÖPINGS LÄN</t>
        </is>
      </c>
      <c r="G158" t="inlineStr">
        <is>
          <t>GNOSJÖ</t>
        </is>
      </c>
      <c r="I158" t="n">
        <v>0.9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59727-2024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45639</v>
      </c>
      <c r="E159" s="1" t="n">
        <v>46322</v>
      </c>
      <c r="F159" t="inlineStr">
        <is>
          <t>JÖNKÖPINGS LÄN</t>
        </is>
      </c>
      <c r="G159" t="inlineStr">
        <is>
          <t>GNOSJÖ</t>
        </is>
      </c>
      <c r="I159" t="n">
        <v>2.3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15434-2023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45020</v>
      </c>
      <c r="E160" s="1" t="n">
        <v>46322</v>
      </c>
      <c r="F160" t="inlineStr">
        <is>
          <t>JÖNKÖPINGS LÄN</t>
        </is>
      </c>
      <c r="G160" t="inlineStr">
        <is>
          <t>GNOSJÖ</t>
        </is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41918-2022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44830</v>
      </c>
      <c r="E161" s="1" t="n">
        <v>46322</v>
      </c>
      <c r="F161" t="inlineStr">
        <is>
          <t>JÖNKÖPINGS LÄN</t>
        </is>
      </c>
      <c r="G161" t="inlineStr">
        <is>
          <t>GNOSJÖ</t>
        </is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61531-2023</t>
        </is>
      </c>
      <c r="B162" t="inlineStr">
        <is>
          <t>avverkningsanmälan</t>
        </is>
      </c>
      <c r="C162" t="inlineStr">
        <is>
          <t>Avverkning för att bevara och utveckla /försöksver</t>
        </is>
      </c>
      <c r="D162" s="1" t="n">
        <v>45265</v>
      </c>
      <c r="E162" s="1" t="n">
        <v>46322</v>
      </c>
      <c r="F162" t="inlineStr">
        <is>
          <t>JÖNKÖPINGS LÄN</t>
        </is>
      </c>
      <c r="G162" t="inlineStr">
        <is>
          <t>GNOSJÖ</t>
        </is>
      </c>
      <c r="H162" t="inlineStr">
        <is>
          <t>Sveaskog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26746-2023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45093</v>
      </c>
      <c r="E163" s="1" t="n">
        <v>46322</v>
      </c>
      <c r="F163" t="inlineStr">
        <is>
          <t>JÖNKÖPINGS LÄN</t>
        </is>
      </c>
      <c r="G163" t="inlineStr">
        <is>
          <t>GNOSJÖ</t>
        </is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15776-2023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45021</v>
      </c>
      <c r="E164" s="1" t="n">
        <v>46322</v>
      </c>
      <c r="F164" t="inlineStr">
        <is>
          <t>JÖNKÖPINGS LÄN</t>
        </is>
      </c>
      <c r="G164" t="inlineStr">
        <is>
          <t>GNOSJÖ</t>
        </is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51901-2022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44872</v>
      </c>
      <c r="E165" s="1" t="n">
        <v>46322</v>
      </c>
      <c r="F165" t="inlineStr">
        <is>
          <t>JÖNKÖPINGS LÄN</t>
        </is>
      </c>
      <c r="G165" t="inlineStr">
        <is>
          <t>GNOSJÖ</t>
        </is>
      </c>
      <c r="I165" t="n">
        <v>7.3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40716-2026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46296</v>
      </c>
      <c r="E166" s="1" t="n">
        <v>46322</v>
      </c>
      <c r="F166" t="inlineStr">
        <is>
          <t>JÖNKÖPINGS LÄN</t>
        </is>
      </c>
      <c r="G166" t="inlineStr">
        <is>
          <t>GNOSJÖ</t>
        </is>
      </c>
      <c r="H166" t="inlineStr">
        <is>
          <t>Sveaskog</t>
        </is>
      </c>
      <c r="I166" t="n">
        <v>1.5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26210-2024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45468</v>
      </c>
      <c r="E167" s="1" t="n">
        <v>46322</v>
      </c>
      <c r="F167" t="inlineStr">
        <is>
          <t>JÖNKÖPINGS LÄN</t>
        </is>
      </c>
      <c r="G167" t="inlineStr">
        <is>
          <t>GNOSJÖ</t>
        </is>
      </c>
      <c r="I167" t="n">
        <v>1.3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16244-2025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45749</v>
      </c>
      <c r="E168" s="1" t="n">
        <v>46322</v>
      </c>
      <c r="F168" t="inlineStr">
        <is>
          <t>JÖNKÖPINGS LÄN</t>
        </is>
      </c>
      <c r="G168" t="inlineStr">
        <is>
          <t>GNOSJÖ</t>
        </is>
      </c>
      <c r="H168" t="inlineStr">
        <is>
          <t>Kyrkan</t>
        </is>
      </c>
      <c r="I168" t="n">
        <v>2.3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40704-2026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46296</v>
      </c>
      <c r="E169" s="1" t="n">
        <v>46322</v>
      </c>
      <c r="F169" t="inlineStr">
        <is>
          <t>JÖNKÖPINGS LÄN</t>
        </is>
      </c>
      <c r="G169" t="inlineStr">
        <is>
          <t>GNOSJÖ</t>
        </is>
      </c>
      <c r="H169" t="inlineStr">
        <is>
          <t>Sveaskog</t>
        </is>
      </c>
      <c r="I169" t="n">
        <v>2.8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41357-2023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45174</v>
      </c>
      <c r="E170" s="1" t="n">
        <v>46322</v>
      </c>
      <c r="F170" t="inlineStr">
        <is>
          <t>JÖNKÖPINGS LÄN</t>
        </is>
      </c>
      <c r="G170" t="inlineStr">
        <is>
          <t>GNOSJÖ</t>
        </is>
      </c>
      <c r="I170" t="n">
        <v>4.1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40720-2026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46296</v>
      </c>
      <c r="E171" s="1" t="n">
        <v>46322</v>
      </c>
      <c r="F171" t="inlineStr">
        <is>
          <t>JÖNKÖPINGS LÄN</t>
        </is>
      </c>
      <c r="G171" t="inlineStr">
        <is>
          <t>GNOSJÖ</t>
        </is>
      </c>
      <c r="H171" t="inlineStr">
        <is>
          <t>Sveaskog</t>
        </is>
      </c>
      <c r="I171" t="n">
        <v>1.1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6662-2024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45341</v>
      </c>
      <c r="E172" s="1" t="n">
        <v>46322</v>
      </c>
      <c r="F172" t="inlineStr">
        <is>
          <t>JÖNKÖPINGS LÄN</t>
        </is>
      </c>
      <c r="G172" t="inlineStr">
        <is>
          <t>GNOSJÖ</t>
        </is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40706-2026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46296</v>
      </c>
      <c r="E173" s="1" t="n">
        <v>46322</v>
      </c>
      <c r="F173" t="inlineStr">
        <is>
          <t>JÖNKÖPINGS LÄN</t>
        </is>
      </c>
      <c r="G173" t="inlineStr">
        <is>
          <t>GNOSJÖ</t>
        </is>
      </c>
      <c r="H173" t="inlineStr">
        <is>
          <t>Sveaskog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8747-2024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45356</v>
      </c>
      <c r="E174" s="1" t="n">
        <v>46322</v>
      </c>
      <c r="F174" t="inlineStr">
        <is>
          <t>JÖNKÖPINGS LÄN</t>
        </is>
      </c>
      <c r="G174" t="inlineStr">
        <is>
          <t>GNOSJÖ</t>
        </is>
      </c>
      <c r="I174" t="n">
        <v>2.4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40714-2026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46296</v>
      </c>
      <c r="E175" s="1" t="n">
        <v>46322</v>
      </c>
      <c r="F175" t="inlineStr">
        <is>
          <t>JÖNKÖPINGS LÄN</t>
        </is>
      </c>
      <c r="G175" t="inlineStr">
        <is>
          <t>GNOSJÖ</t>
        </is>
      </c>
      <c r="H175" t="inlineStr">
        <is>
          <t>Sveaskog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56393-2023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45243</v>
      </c>
      <c r="E176" s="1" t="n">
        <v>46322</v>
      </c>
      <c r="F176" t="inlineStr">
        <is>
          <t>JÖNKÖPINGS LÄN</t>
        </is>
      </c>
      <c r="G176" t="inlineStr">
        <is>
          <t>GNOSJÖ</t>
        </is>
      </c>
      <c r="I176" t="n">
        <v>4.1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32826-2023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45124</v>
      </c>
      <c r="E177" s="1" t="n">
        <v>46322</v>
      </c>
      <c r="F177" t="inlineStr">
        <is>
          <t>JÖNKÖPINGS LÄN</t>
        </is>
      </c>
      <c r="G177" t="inlineStr">
        <is>
          <t>GNOSJÖ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1450-2024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45303</v>
      </c>
      <c r="E178" s="1" t="n">
        <v>46322</v>
      </c>
      <c r="F178" t="inlineStr">
        <is>
          <t>JÖNKÖPINGS LÄN</t>
        </is>
      </c>
      <c r="G178" t="inlineStr">
        <is>
          <t>GNOSJÖ</t>
        </is>
      </c>
      <c r="I178" t="n">
        <v>0.9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23132-2026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46161</v>
      </c>
      <c r="E179" s="1" t="n">
        <v>46322</v>
      </c>
      <c r="F179" t="inlineStr">
        <is>
          <t>JÖNKÖPINGS LÄN</t>
        </is>
      </c>
      <c r="G179" t="inlineStr">
        <is>
          <t>GNOSJÖ</t>
        </is>
      </c>
      <c r="I179" t="n">
        <v>3.3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39094-2026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46283</v>
      </c>
      <c r="E180" s="1" t="n">
        <v>46322</v>
      </c>
      <c r="F180" t="inlineStr">
        <is>
          <t>JÖNKÖPINGS LÄN</t>
        </is>
      </c>
      <c r="G180" t="inlineStr">
        <is>
          <t>GNOSJÖ</t>
        </is>
      </c>
      <c r="H180" t="inlineStr">
        <is>
          <t>Kyrkan</t>
        </is>
      </c>
      <c r="I180" t="n">
        <v>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36406-2022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44803</v>
      </c>
      <c r="E181" s="1" t="n">
        <v>46322</v>
      </c>
      <c r="F181" t="inlineStr">
        <is>
          <t>JÖNKÖPINGS LÄN</t>
        </is>
      </c>
      <c r="G181" t="inlineStr">
        <is>
          <t>GNOSJÖ</t>
        </is>
      </c>
      <c r="I181" t="n">
        <v>2.1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10996-2024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45370</v>
      </c>
      <c r="E182" s="1" t="n">
        <v>46322</v>
      </c>
      <c r="F182" t="inlineStr">
        <is>
          <t>JÖNKÖPINGS LÄN</t>
        </is>
      </c>
      <c r="G182" t="inlineStr">
        <is>
          <t>GNOSJÖ</t>
        </is>
      </c>
      <c r="I182" t="n">
        <v>5.9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22846-2024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45448</v>
      </c>
      <c r="E183" s="1" t="n">
        <v>46322</v>
      </c>
      <c r="F183" t="inlineStr">
        <is>
          <t>JÖNKÖPINGS LÄN</t>
        </is>
      </c>
      <c r="G183" t="inlineStr">
        <is>
          <t>GNOSJÖ</t>
        </is>
      </c>
      <c r="I183" t="n">
        <v>0.7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30091-2024</t>
        </is>
      </c>
      <c r="B184" t="inlineStr">
        <is>
          <t>avverkningsanmälan</t>
        </is>
      </c>
      <c r="C184" t="inlineStr">
        <is>
          <t>Avverkning för annat ändamål</t>
        </is>
      </c>
      <c r="D184" s="1" t="n">
        <v>45489</v>
      </c>
      <c r="E184" s="1" t="n">
        <v>46322</v>
      </c>
      <c r="F184" t="inlineStr">
        <is>
          <t>JÖNKÖPINGS LÄN</t>
        </is>
      </c>
      <c r="G184" t="inlineStr">
        <is>
          <t>GNOSJÖ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42587-2026</t>
        </is>
      </c>
      <c r="B185" t="inlineStr">
        <is>
          <t>avverkningsanmälan</t>
        </is>
      </c>
      <c r="C185" t="inlineStr">
        <is>
          <t>Avverkning för annat ändamål</t>
        </is>
      </c>
      <c r="D185" s="1" t="n">
        <v>46308</v>
      </c>
      <c r="E185" s="1" t="n">
        <v>46322</v>
      </c>
      <c r="F185" t="inlineStr">
        <is>
          <t>JÖNKÖPINGS LÄN</t>
        </is>
      </c>
      <c r="G185" t="inlineStr">
        <is>
          <t>GNOSJÖ</t>
        </is>
      </c>
      <c r="I185" t="n">
        <v>2.2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48227-2022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44858</v>
      </c>
      <c r="E186" s="1" t="n">
        <v>46322</v>
      </c>
      <c r="F186" t="inlineStr">
        <is>
          <t>JÖNKÖPINGS LÄN</t>
        </is>
      </c>
      <c r="G186" t="inlineStr">
        <is>
          <t>GNOSJÖ</t>
        </is>
      </c>
      <c r="I186" t="n">
        <v>2.3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43758-2023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45187</v>
      </c>
      <c r="E187" s="1" t="n">
        <v>46322</v>
      </c>
      <c r="F187" t="inlineStr">
        <is>
          <t>JÖNKÖPINGS LÄN</t>
        </is>
      </c>
      <c r="G187" t="inlineStr">
        <is>
          <t>GNOSJÖ</t>
        </is>
      </c>
      <c r="I187" t="n">
        <v>1.5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6747-2025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45700</v>
      </c>
      <c r="E188" s="1" t="n">
        <v>46322</v>
      </c>
      <c r="F188" t="inlineStr">
        <is>
          <t>JÖNKÖPINGS LÄN</t>
        </is>
      </c>
      <c r="G188" t="inlineStr">
        <is>
          <t>GNOSJÖ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50304-2024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45600</v>
      </c>
      <c r="E189" s="1" t="n">
        <v>46322</v>
      </c>
      <c r="F189" t="inlineStr">
        <is>
          <t>JÖNKÖPINGS LÄN</t>
        </is>
      </c>
      <c r="G189" t="inlineStr">
        <is>
          <t>GNOSJÖ</t>
        </is>
      </c>
      <c r="I189" t="n">
        <v>1.6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27498-2026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46185</v>
      </c>
      <c r="E190" s="1" t="n">
        <v>46322</v>
      </c>
      <c r="F190" t="inlineStr">
        <is>
          <t>JÖNKÖPINGS LÄN</t>
        </is>
      </c>
      <c r="G190" t="inlineStr">
        <is>
          <t>GNOSJÖ</t>
        </is>
      </c>
      <c r="H190" t="inlineStr">
        <is>
          <t>Kyrkan</t>
        </is>
      </c>
      <c r="I190" t="n">
        <v>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43786-2023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45187</v>
      </c>
      <c r="E191" s="1" t="n">
        <v>46322</v>
      </c>
      <c r="F191" t="inlineStr">
        <is>
          <t>JÖNKÖPINGS LÄN</t>
        </is>
      </c>
      <c r="G191" t="inlineStr">
        <is>
          <t>GNOSJÖ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43787-2023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45187</v>
      </c>
      <c r="E192" s="1" t="n">
        <v>46322</v>
      </c>
      <c r="F192" t="inlineStr">
        <is>
          <t>JÖNKÖPINGS LÄN</t>
        </is>
      </c>
      <c r="G192" t="inlineStr">
        <is>
          <t>GNOSJÖ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46254-2024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45581</v>
      </c>
      <c r="E193" s="1" t="n">
        <v>46322</v>
      </c>
      <c r="F193" t="inlineStr">
        <is>
          <t>JÖNKÖPINGS LÄN</t>
        </is>
      </c>
      <c r="G193" t="inlineStr">
        <is>
          <t>GNOSJÖ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47856-2022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44855</v>
      </c>
      <c r="E194" s="1" t="n">
        <v>46322</v>
      </c>
      <c r="F194" t="inlineStr">
        <is>
          <t>JÖNKÖPINGS LÄN</t>
        </is>
      </c>
      <c r="G194" t="inlineStr">
        <is>
          <t>GNOSJÖ</t>
        </is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19307-2023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45049</v>
      </c>
      <c r="E195" s="1" t="n">
        <v>46322</v>
      </c>
      <c r="F195" t="inlineStr">
        <is>
          <t>JÖNKÖPINGS LÄN</t>
        </is>
      </c>
      <c r="G195" t="inlineStr">
        <is>
          <t>GNOSJÖ</t>
        </is>
      </c>
      <c r="I195" t="n">
        <v>0.4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56625-2022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44893</v>
      </c>
      <c r="E196" s="1" t="n">
        <v>46322</v>
      </c>
      <c r="F196" t="inlineStr">
        <is>
          <t>JÖNKÖPINGS LÄN</t>
        </is>
      </c>
      <c r="G196" t="inlineStr">
        <is>
          <t>GNOSJÖ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37630-2026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46276</v>
      </c>
      <c r="E197" s="1" t="n">
        <v>46322</v>
      </c>
      <c r="F197" t="inlineStr">
        <is>
          <t>JÖNKÖPINGS LÄN</t>
        </is>
      </c>
      <c r="G197" t="inlineStr">
        <is>
          <t>GNOSJÖ</t>
        </is>
      </c>
      <c r="H197" t="inlineStr">
        <is>
          <t>Sveaskog</t>
        </is>
      </c>
      <c r="I197" t="n">
        <v>13.6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S 2580-2020</t>
        </is>
      </c>
      <c r="B198" t="inlineStr">
        <is>
          <t>samrådsanmälan</t>
        </is>
      </c>
      <c r="C198" t="inlineStr">
        <is>
          <t>Åtgärd i nyckelbiotop</t>
        </is>
      </c>
      <c r="D198" s="1" t="n">
        <v>44166</v>
      </c>
      <c r="E198" s="1" t="n">
        <v>46322</v>
      </c>
      <c r="F198" t="inlineStr">
        <is>
          <t>JÖNKÖPINGS LÄN</t>
        </is>
      </c>
      <c r="G198" t="inlineStr">
        <is>
          <t>GNOSJÖ</t>
        </is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S 2956-2022</t>
        </is>
      </c>
      <c r="B199" t="inlineStr">
        <is>
          <t>samrådsanmälan</t>
        </is>
      </c>
      <c r="C199" t="inlineStr">
        <is>
          <t>Askåterföring</t>
        </is>
      </c>
      <c r="D199" s="1" t="n">
        <v>44712</v>
      </c>
      <c r="E199" s="1" t="n">
        <v>46322</v>
      </c>
      <c r="F199" t="inlineStr">
        <is>
          <t>JÖNKÖPINGS LÄN</t>
        </is>
      </c>
      <c r="G199" t="inlineStr">
        <is>
          <t>GNOSJÖ</t>
        </is>
      </c>
      <c r="H199" t="inlineStr">
        <is>
          <t>Kyrkan</t>
        </is>
      </c>
      <c r="I199" t="n">
        <v>42.7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S 2912-2022</t>
        </is>
      </c>
      <c r="B200" t="inlineStr">
        <is>
          <t>samrådsanmälan</t>
        </is>
      </c>
      <c r="C200" t="inlineStr">
        <is>
          <t>Askåterföring</t>
        </is>
      </c>
      <c r="D200" s="1" t="n">
        <v>44711</v>
      </c>
      <c r="E200" s="1" t="n">
        <v>46322</v>
      </c>
      <c r="F200" t="inlineStr">
        <is>
          <t>JÖNKÖPINGS LÄN</t>
        </is>
      </c>
      <c r="G200" t="inlineStr">
        <is>
          <t>GNOSJÖ</t>
        </is>
      </c>
      <c r="H200" t="inlineStr">
        <is>
          <t>Kyrkan</t>
        </is>
      </c>
      <c r="I200" t="n">
        <v>33.4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S 1256-2025</t>
        </is>
      </c>
      <c r="B201" t="inlineStr">
        <is>
          <t>samrådsanmälan</t>
        </is>
      </c>
      <c r="C201" t="inlineStr">
        <is>
          <t>Askåterföring</t>
        </is>
      </c>
      <c r="D201" s="1" t="n">
        <v>45763</v>
      </c>
      <c r="E201" s="1" t="n">
        <v>46322</v>
      </c>
      <c r="F201" t="inlineStr">
        <is>
          <t>JÖNKÖPINGS LÄN</t>
        </is>
      </c>
      <c r="G201" t="inlineStr">
        <is>
          <t>GNOSJÖ</t>
        </is>
      </c>
      <c r="I201" t="n">
        <v>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S 1619-2025</t>
        </is>
      </c>
      <c r="B202" t="inlineStr">
        <is>
          <t>samrådsanmälan</t>
        </is>
      </c>
      <c r="C202" t="inlineStr">
        <is>
          <t>Askåterföring</t>
        </is>
      </c>
      <c r="D202" s="1" t="n">
        <v>45798</v>
      </c>
      <c r="E202" s="1" t="n">
        <v>46322</v>
      </c>
      <c r="F202" t="inlineStr">
        <is>
          <t>JÖNKÖPINGS LÄN</t>
        </is>
      </c>
      <c r="G202" t="inlineStr">
        <is>
          <t>GNOSJÖ</t>
        </is>
      </c>
      <c r="H202" t="inlineStr">
        <is>
          <t>Kyrkan</t>
        </is>
      </c>
      <c r="I202" t="n">
        <v>43.9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>
      <c r="A203" t="inlineStr">
        <is>
          <t>S 1452-2026</t>
        </is>
      </c>
      <c r="B203" t="inlineStr">
        <is>
          <t>samrådsanmälan</t>
        </is>
      </c>
      <c r="C203" t="inlineStr">
        <is>
          <t>Askåterföring</t>
        </is>
      </c>
      <c r="D203" s="1" t="n">
        <v>46160</v>
      </c>
      <c r="E203" s="1" t="n">
        <v>46322</v>
      </c>
      <c r="F203" t="inlineStr">
        <is>
          <t>JÖNKÖPINGS LÄN</t>
        </is>
      </c>
      <c r="G203" t="inlineStr">
        <is>
          <t>GNOSJÖ</t>
        </is>
      </c>
      <c r="H203" t="inlineStr">
        <is>
          <t>Kyrkan</t>
        </is>
      </c>
      <c r="I203" t="n">
        <v>43.3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2026-10-27T03:11:19Z</dcterms:created>
  <dcterms:modified xmlns:dcterms="http://purl.org/dc/terms/" xmlns:xsi="http://www.w3.org/2001/XMLSchema-instance" xsi:type="dcterms:W3CDTF">2026-10-27T03:11:20Z</dcterms:modified>
</cp:coreProperties>
</file>