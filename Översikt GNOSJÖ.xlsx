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45713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45713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7319-2024</t>
        </is>
      </c>
      <c r="B4" s="1" t="n">
        <v>45345</v>
      </c>
      <c r="C4" s="1" t="n">
        <v>45713</v>
      </c>
      <c r="D4" t="inlineStr">
        <is>
          <t>JÖNKÖPINGS LÄN</t>
        </is>
      </c>
      <c r="E4" t="inlineStr">
        <is>
          <t>GNOSJÖ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Blomkålssvamp</t>
        </is>
      </c>
      <c r="S4">
        <f>HYPERLINK("https://klasma.github.io/Logging_0617/artfynd/A 7319-2024 artfynd.xlsx", "A 7319-2024")</f>
        <v/>
      </c>
      <c r="T4">
        <f>HYPERLINK("https://klasma.github.io/Logging_0617/kartor/A 7319-2024 karta.png", "A 7319-2024")</f>
        <v/>
      </c>
      <c r="V4">
        <f>HYPERLINK("https://klasma.github.io/Logging_0617/klagomål/A 7319-2024 FSC-klagomål.docx", "A 7319-2024")</f>
        <v/>
      </c>
      <c r="W4">
        <f>HYPERLINK("https://klasma.github.io/Logging_0617/klagomålsmail/A 7319-2024 FSC-klagomål mail.docx", "A 7319-2024")</f>
        <v/>
      </c>
      <c r="X4">
        <f>HYPERLINK("https://klasma.github.io/Logging_0617/tillsyn/A 7319-2024 tillsynsbegäran.docx", "A 7319-2024")</f>
        <v/>
      </c>
      <c r="Y4">
        <f>HYPERLINK("https://klasma.github.io/Logging_0617/tillsynsmail/A 7319-2024 tillsynsbegäran mail.docx", "A 7319-2024")</f>
        <v/>
      </c>
    </row>
    <row r="5" ht="15" customHeight="1">
      <c r="A5" t="inlineStr">
        <is>
          <t>A 48551-2024</t>
        </is>
      </c>
      <c r="B5" s="1" t="n">
        <v>45593</v>
      </c>
      <c r="C5" s="1" t="n">
        <v>45713</v>
      </c>
      <c r="D5" t="inlineStr">
        <is>
          <t>JÖNKÖPINGS LÄN</t>
        </is>
      </c>
      <c r="E5" t="inlineStr">
        <is>
          <t>GNOSJÖ</t>
        </is>
      </c>
      <c r="G5" t="n">
        <v>8.1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HYPERLINK("https://klasma.github.io/Logging_0617/artfynd/A 48551-2024 artfynd.xlsx", "A 48551-2024")</f>
        <v/>
      </c>
      <c r="T5">
        <f>HYPERLINK("https://klasma.github.io/Logging_0617/kartor/A 48551-2024 karta.png", "A 48551-2024")</f>
        <v/>
      </c>
      <c r="V5">
        <f>HYPERLINK("https://klasma.github.io/Logging_0617/klagomål/A 48551-2024 FSC-klagomål.docx", "A 48551-2024")</f>
        <v/>
      </c>
      <c r="W5">
        <f>HYPERLINK("https://klasma.github.io/Logging_0617/klagomålsmail/A 48551-2024 FSC-klagomål mail.docx", "A 48551-2024")</f>
        <v/>
      </c>
      <c r="X5">
        <f>HYPERLINK("https://klasma.github.io/Logging_0617/tillsyn/A 48551-2024 tillsynsbegäran.docx", "A 48551-2024")</f>
        <v/>
      </c>
      <c r="Y5">
        <f>HYPERLINK("https://klasma.github.io/Logging_0617/tillsynsmail/A 48551-2024 tillsynsbegäran mail.docx", "A 48551-2024")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45713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45713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45713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45713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45713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45713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45713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45713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45713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45713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45713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45713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45713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45713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45713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45713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45713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45713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45713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45713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45713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45713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45713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45713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45713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45713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45713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45713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45713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45713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45713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45713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45713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45713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45713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45713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45713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45713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45713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45713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45713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45713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45713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45713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45713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45713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45713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45713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45713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45713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45713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45713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45713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45713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45713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45713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66211-2020</t>
        </is>
      </c>
      <c r="B62" s="1" t="n">
        <v>44175</v>
      </c>
      <c r="C62" s="1" t="n">
        <v>45713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45713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45713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45713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45713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45713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45713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45713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45713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45713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45713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45713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45713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45713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45713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45713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45713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45713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45713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45713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45713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45713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45713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45713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45713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45713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45713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45713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45713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45713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45713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45713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45713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45713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45713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45713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45713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45713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45713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45713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45713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45713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45713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45713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45713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45713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45713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45713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45713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45713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45713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45713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45713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45713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45713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45713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45713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45713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45713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45713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45713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45713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45713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45713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45713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45713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45713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45713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45713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45713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45713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45713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45713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45713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45713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45713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45713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45713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45713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45713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45713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45713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45713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45713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45713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45713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45713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45713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45713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45713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45713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45713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45713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45713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45713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45713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45713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45713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45713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45713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45713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45713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45713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45713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45713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45713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45713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45713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45713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45713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45713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45713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45713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45713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45713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45713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45713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45713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45713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45713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45713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45713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45713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45713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45713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45713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45713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45713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45713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45713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45713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45713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45713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45713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45713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45713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45713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45713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45713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45713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45713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45713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45713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45713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45713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45713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45713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45713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45713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45713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45713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45713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45713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45713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45713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45713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45713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45713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45713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45713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45713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45713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45713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45713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45713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45713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45713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45713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45713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45713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45713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45713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45713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45713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45713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45713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45713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45713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45713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45713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45713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45713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45713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45713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45713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45713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45713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45713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45713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45713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45713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45713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45713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45713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45713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45713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45713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45713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45713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45713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45713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45713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45713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45713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45713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45713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45713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45713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45713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45713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45713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45713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45713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45713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45713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45713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45713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45713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45713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45713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45713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45713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45713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45713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45713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45713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45713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45713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45713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45713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45713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45713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45713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45713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45713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45713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45713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45713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45713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45713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45713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45713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45713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45713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45713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45713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45713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45713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45713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45713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45713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45713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45713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45713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45713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45713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45713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45713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45713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45713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45713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45713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45713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45713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45713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45713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45713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45713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45713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45713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45713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45713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45713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45713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45713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45713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45713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45713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45713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45713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45713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45713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45713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45713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45713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45713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45713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45713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45713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45713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45713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45713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45713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45713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45713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45713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45713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45713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45713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45713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45713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45713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45713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45713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45713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45713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45713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45713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45713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45713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45713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45713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45713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45713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45713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45713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5821-2025</t>
        </is>
      </c>
      <c r="B378" s="1" t="n">
        <v>45694</v>
      </c>
      <c r="C378" s="1" t="n">
        <v>45713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5820-2025</t>
        </is>
      </c>
      <c r="B379" s="1" t="n">
        <v>45694</v>
      </c>
      <c r="C379" s="1" t="n">
        <v>45713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45713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45713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45713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6747-2025</t>
        </is>
      </c>
      <c r="B383" s="1" t="n">
        <v>45700</v>
      </c>
      <c r="C383" s="1" t="n">
        <v>45713</v>
      </c>
      <c r="D383" t="inlineStr">
        <is>
          <t>JÖNKÖPINGS LÄN</t>
        </is>
      </c>
      <c r="E383" t="inlineStr">
        <is>
          <t>GNOSJÖ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6763-2025</t>
        </is>
      </c>
      <c r="B384" s="1" t="n">
        <v>45700</v>
      </c>
      <c r="C384" s="1" t="n">
        <v>45713</v>
      </c>
      <c r="D384" t="inlineStr">
        <is>
          <t>JÖNKÖPINGS LÄN</t>
        </is>
      </c>
      <c r="E384" t="inlineStr">
        <is>
          <t>GNOSJÖ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6587-2025</t>
        </is>
      </c>
      <c r="B385" s="1" t="n">
        <v>45700</v>
      </c>
      <c r="C385" s="1" t="n">
        <v>45713</v>
      </c>
      <c r="D385" t="inlineStr">
        <is>
          <t>JÖNKÖPINGS LÄN</t>
        </is>
      </c>
      <c r="E385" t="inlineStr">
        <is>
          <t>GNOSJÖ</t>
        </is>
      </c>
      <c r="F385" t="inlineStr">
        <is>
          <t>Övriga Aktiebolag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6785-2025</t>
        </is>
      </c>
      <c r="B386" s="1" t="n">
        <v>45700</v>
      </c>
      <c r="C386" s="1" t="n">
        <v>45713</v>
      </c>
      <c r="D386" t="inlineStr">
        <is>
          <t>JÖNKÖPINGS LÄN</t>
        </is>
      </c>
      <c r="E386" t="inlineStr">
        <is>
          <t>GNOSJÖ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6789-2025</t>
        </is>
      </c>
      <c r="B387" s="1" t="n">
        <v>45700</v>
      </c>
      <c r="C387" s="1" t="n">
        <v>45713</v>
      </c>
      <c r="D387" t="inlineStr">
        <is>
          <t>JÖNKÖPINGS LÄN</t>
        </is>
      </c>
      <c r="E387" t="inlineStr">
        <is>
          <t>GNOSJÖ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6793-2025</t>
        </is>
      </c>
      <c r="B388" s="1" t="n">
        <v>45700</v>
      </c>
      <c r="C388" s="1" t="n">
        <v>45713</v>
      </c>
      <c r="D388" t="inlineStr">
        <is>
          <t>JÖNKÖPINGS LÄN</t>
        </is>
      </c>
      <c r="E388" t="inlineStr">
        <is>
          <t>GNOSJÖ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6738-2025</t>
        </is>
      </c>
      <c r="B389" s="1" t="n">
        <v>45700</v>
      </c>
      <c r="C389" s="1" t="n">
        <v>45713</v>
      </c>
      <c r="D389" t="inlineStr">
        <is>
          <t>JÖNKÖPINGS LÄN</t>
        </is>
      </c>
      <c r="E389" t="inlineStr">
        <is>
          <t>GNOSJÖ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45713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45713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8698-2025</t>
        </is>
      </c>
      <c r="B392" s="1" t="n">
        <v>45712</v>
      </c>
      <c r="C392" s="1" t="n">
        <v>45713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2025-02-25T16:22:43Z</dcterms:created>
  <dcterms:modified xmlns:dcterms="http://purl.org/dc/terms/" xmlns:xsi="http://www.w3.org/2001/XMLSchema-instance" xsi:type="dcterms:W3CDTF">2025-02-25T16:22:44Z</dcterms:modified>
</cp:coreProperties>
</file>